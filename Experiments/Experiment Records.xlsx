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3.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tables/table4.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tables/table5.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tables/table6.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tables/table7.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tables/table8.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tables/table9.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tables/table10.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drawings/drawing15.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drawings/drawing16.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drawings/drawing17.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drawings/drawing18.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drawings/drawing19.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drawings/drawing20.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drawings/drawing21.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drawings/drawing22.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drawings/drawing23.xml" ContentType="application/vnd.openxmlformats-officedocument.drawing+xml"/>
  <Override PartName="/xl/tables/table31.xml" ContentType="application/vnd.openxmlformats-officedocument.spreadsheetml.tab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4.xml" ContentType="application/vnd.openxmlformats-officedocument.drawing+xml"/>
  <Override PartName="/xl/tables/table3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26D10CA1-2F60-496C-B10A-2678EA7B8ED1}" xr6:coauthVersionLast="47" xr6:coauthVersionMax="47" xr10:uidLastSave="{00000000-0000-0000-0000-000000000000}"/>
  <bookViews>
    <workbookView xWindow="-120" yWindow="-120" windowWidth="29040" windowHeight="17520" firstSheet="2" activeTab="9" xr2:uid="{00000000-000D-0000-FFFF-FFFF00000000}"/>
  </bookViews>
  <sheets>
    <sheet name="Machine Details" sheetId="4" r:id="rId1"/>
    <sheet name="VI Properties" sheetId="10" r:id="rId2"/>
    <sheet name="Exp1" sheetId="5" r:id="rId3"/>
    <sheet name="Exp2" sheetId="6" r:id="rId4"/>
    <sheet name="Exp3" sheetId="7" r:id="rId5"/>
    <sheet name="Exp4" sheetId="8" r:id="rId6"/>
    <sheet name="Exp5" sheetId="9" r:id="rId7"/>
    <sheet name="Exp6" sheetId="11" r:id="rId8"/>
    <sheet name="Exp6 (rerun)" sheetId="13" r:id="rId9"/>
    <sheet name="Exp7" sheetId="14" r:id="rId10"/>
    <sheet name="Exp7 (rerun with C=10)" sheetId="15" r:id="rId11"/>
    <sheet name="Exp12-EXE File Size" sheetId="16" r:id="rId12"/>
    <sheet name="Exp12-Variability" sheetId="17" r:id="rId13"/>
    <sheet name="Exp13" sheetId="18" r:id="rId14"/>
    <sheet name="Exp14" sheetId="19" r:id="rId15"/>
    <sheet name="Exp15" sheetId="20" r:id="rId16"/>
    <sheet name="Exp16" sheetId="21" r:id="rId17"/>
    <sheet name="Exp17" sheetId="23" r:id="rId18"/>
    <sheet name="Exp18" sheetId="25" r:id="rId19"/>
    <sheet name="Exp19" sheetId="26" r:id="rId20"/>
    <sheet name="Exp20" sheetId="27" r:id="rId21"/>
    <sheet name="Exp21" sheetId="28" r:id="rId22"/>
    <sheet name="E12-E21 Comparison" sheetId="29" r:id="rId23"/>
    <sheet name="Exp22" sheetId="30" r:id="rId24"/>
    <sheet name="Sandbox" sheetId="12" r:id="rId2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30" l="1"/>
  <c r="E9" i="30" s="1"/>
  <c r="D8" i="30"/>
  <c r="D9" i="30" s="1"/>
  <c r="C8" i="30"/>
  <c r="C9" i="30" s="1"/>
  <c r="C12" i="30" s="1"/>
  <c r="L45" i="28"/>
  <c r="K45" i="28"/>
  <c r="J45" i="28"/>
  <c r="I45" i="28"/>
  <c r="H45" i="28"/>
  <c r="G45" i="28"/>
  <c r="F45" i="28"/>
  <c r="E45" i="28"/>
  <c r="D45" i="28"/>
  <c r="C45" i="28"/>
  <c r="L44" i="28"/>
  <c r="K44" i="28"/>
  <c r="J44" i="28"/>
  <c r="I44" i="28"/>
  <c r="H44" i="28"/>
  <c r="G44" i="28"/>
  <c r="F44" i="28"/>
  <c r="E44" i="28"/>
  <c r="D44" i="28"/>
  <c r="C44" i="28"/>
  <c r="L43" i="28"/>
  <c r="K43" i="28"/>
  <c r="J43" i="28"/>
  <c r="I43" i="28"/>
  <c r="H43" i="28"/>
  <c r="G43" i="28"/>
  <c r="F43" i="28"/>
  <c r="E43" i="28"/>
  <c r="D43" i="28"/>
  <c r="C43" i="28"/>
  <c r="L19" i="28"/>
  <c r="K19" i="28"/>
  <c r="J19" i="28"/>
  <c r="I19" i="28"/>
  <c r="H19" i="28"/>
  <c r="G19" i="28"/>
  <c r="F19" i="28"/>
  <c r="E19" i="28"/>
  <c r="D19" i="28"/>
  <c r="C19" i="28"/>
  <c r="L18" i="28"/>
  <c r="K18" i="28"/>
  <c r="J18" i="28"/>
  <c r="I18" i="28"/>
  <c r="H18" i="28"/>
  <c r="G18" i="28"/>
  <c r="F18" i="28"/>
  <c r="E18" i="28"/>
  <c r="D18" i="28"/>
  <c r="C18" i="28"/>
  <c r="L17" i="28"/>
  <c r="K17" i="28"/>
  <c r="J17" i="28"/>
  <c r="I17" i="28"/>
  <c r="H17" i="28"/>
  <c r="G17" i="28"/>
  <c r="F17" i="28"/>
  <c r="E17" i="28"/>
  <c r="D17" i="28"/>
  <c r="C17" i="28"/>
  <c r="L33" i="27"/>
  <c r="K33" i="27"/>
  <c r="J33" i="27"/>
  <c r="I33" i="27"/>
  <c r="H33" i="27"/>
  <c r="G33" i="27"/>
  <c r="F33" i="27"/>
  <c r="E33" i="27"/>
  <c r="D33" i="27"/>
  <c r="C33" i="27"/>
  <c r="L32" i="27"/>
  <c r="K32" i="27"/>
  <c r="J32" i="27"/>
  <c r="I32" i="27"/>
  <c r="H32" i="27"/>
  <c r="G32" i="27"/>
  <c r="F32" i="27"/>
  <c r="E32" i="27"/>
  <c r="D32" i="27"/>
  <c r="C32" i="27"/>
  <c r="L31" i="27"/>
  <c r="K31" i="27"/>
  <c r="J31" i="27"/>
  <c r="I31" i="27"/>
  <c r="H31" i="27"/>
  <c r="G31" i="27"/>
  <c r="F31" i="27"/>
  <c r="E31" i="27"/>
  <c r="D31" i="27"/>
  <c r="C31" i="27"/>
  <c r="L13" i="27"/>
  <c r="K13" i="27"/>
  <c r="J13" i="27"/>
  <c r="I13" i="27"/>
  <c r="H13" i="27"/>
  <c r="G13" i="27"/>
  <c r="F13" i="27"/>
  <c r="E13" i="27"/>
  <c r="D13" i="27"/>
  <c r="C13" i="27"/>
  <c r="L12" i="27"/>
  <c r="K12" i="27"/>
  <c r="J12" i="27"/>
  <c r="I12" i="27"/>
  <c r="H12" i="27"/>
  <c r="G12" i="27"/>
  <c r="F12" i="27"/>
  <c r="E12" i="27"/>
  <c r="D12" i="27"/>
  <c r="C12" i="27"/>
  <c r="L11" i="27"/>
  <c r="K11" i="27"/>
  <c r="J11" i="27"/>
  <c r="I11" i="27"/>
  <c r="H11" i="27"/>
  <c r="G11" i="27"/>
  <c r="F11" i="27"/>
  <c r="E11" i="27"/>
  <c r="D11" i="27"/>
  <c r="C11" i="27"/>
  <c r="L45" i="26"/>
  <c r="K45" i="26"/>
  <c r="J45" i="26"/>
  <c r="I45" i="26"/>
  <c r="H45" i="26"/>
  <c r="G45" i="26"/>
  <c r="F45" i="26"/>
  <c r="E45" i="26"/>
  <c r="D45" i="26"/>
  <c r="C45" i="26"/>
  <c r="L44" i="26"/>
  <c r="K44" i="26"/>
  <c r="J44" i="26"/>
  <c r="I44" i="26"/>
  <c r="H44" i="26"/>
  <c r="G44" i="26"/>
  <c r="F44" i="26"/>
  <c r="E44" i="26"/>
  <c r="D44" i="26"/>
  <c r="C44" i="26"/>
  <c r="L43" i="26"/>
  <c r="K43" i="26"/>
  <c r="J43" i="26"/>
  <c r="I43" i="26"/>
  <c r="H43" i="26"/>
  <c r="G43" i="26"/>
  <c r="F43" i="26"/>
  <c r="E43" i="26"/>
  <c r="D43" i="26"/>
  <c r="C43" i="26"/>
  <c r="L19" i="26"/>
  <c r="K19" i="26"/>
  <c r="J19" i="26"/>
  <c r="I19" i="26"/>
  <c r="H19" i="26"/>
  <c r="G19" i="26"/>
  <c r="F19" i="26"/>
  <c r="E19" i="26"/>
  <c r="D19" i="26"/>
  <c r="C19" i="26"/>
  <c r="L18" i="26"/>
  <c r="K18" i="26"/>
  <c r="J18" i="26"/>
  <c r="I18" i="26"/>
  <c r="H18" i="26"/>
  <c r="G18" i="26"/>
  <c r="F18" i="26"/>
  <c r="E18" i="26"/>
  <c r="D18" i="26"/>
  <c r="C18" i="26"/>
  <c r="L17" i="26"/>
  <c r="K17" i="26"/>
  <c r="J17" i="26"/>
  <c r="I17" i="26"/>
  <c r="H17" i="26"/>
  <c r="G17" i="26"/>
  <c r="F17" i="26"/>
  <c r="E17" i="26"/>
  <c r="D17" i="26"/>
  <c r="C17" i="26"/>
  <c r="L33" i="25"/>
  <c r="K33" i="25"/>
  <c r="J33" i="25"/>
  <c r="I33" i="25"/>
  <c r="H33" i="25"/>
  <c r="G33" i="25"/>
  <c r="F33" i="25"/>
  <c r="E33" i="25"/>
  <c r="D33" i="25"/>
  <c r="C33" i="25"/>
  <c r="L32" i="25"/>
  <c r="K32" i="25"/>
  <c r="J32" i="25"/>
  <c r="I32" i="25"/>
  <c r="H32" i="25"/>
  <c r="G32" i="25"/>
  <c r="F32" i="25"/>
  <c r="E32" i="25"/>
  <c r="D32" i="25"/>
  <c r="C32" i="25"/>
  <c r="L31" i="25"/>
  <c r="K31" i="25"/>
  <c r="J31" i="25"/>
  <c r="I31" i="25"/>
  <c r="H31" i="25"/>
  <c r="G31" i="25"/>
  <c r="F31" i="25"/>
  <c r="E31" i="25"/>
  <c r="D31" i="25"/>
  <c r="C31" i="25"/>
  <c r="L13" i="25"/>
  <c r="K13" i="25"/>
  <c r="J13" i="25"/>
  <c r="I13" i="25"/>
  <c r="H13" i="25"/>
  <c r="G13" i="25"/>
  <c r="F13" i="25"/>
  <c r="E13" i="25"/>
  <c r="D13" i="25"/>
  <c r="C13" i="25"/>
  <c r="L12" i="25"/>
  <c r="L14" i="25" s="1"/>
  <c r="L15" i="25" s="1"/>
  <c r="K12" i="25"/>
  <c r="K14" i="25" s="1"/>
  <c r="K15" i="25" s="1"/>
  <c r="J12" i="25"/>
  <c r="J14" i="25" s="1"/>
  <c r="J15" i="25" s="1"/>
  <c r="I12" i="25"/>
  <c r="I14" i="25" s="1"/>
  <c r="I15" i="25" s="1"/>
  <c r="H12" i="25"/>
  <c r="H14" i="25" s="1"/>
  <c r="H15" i="25" s="1"/>
  <c r="G12" i="25"/>
  <c r="F12" i="25"/>
  <c r="E12" i="25"/>
  <c r="D12" i="25"/>
  <c r="C12" i="25"/>
  <c r="L11" i="25"/>
  <c r="K11" i="25"/>
  <c r="J11" i="25"/>
  <c r="I11" i="25"/>
  <c r="H11" i="25"/>
  <c r="G11" i="25"/>
  <c r="F11" i="25"/>
  <c r="E11" i="25"/>
  <c r="D11" i="25"/>
  <c r="C11" i="25"/>
  <c r="C43" i="23"/>
  <c r="C21" i="23"/>
  <c r="C21" i="17"/>
  <c r="C31" i="21"/>
  <c r="C15" i="21"/>
  <c r="C27" i="20"/>
  <c r="C13" i="20"/>
  <c r="C27" i="19"/>
  <c r="C13" i="19"/>
  <c r="C31" i="18"/>
  <c r="C15" i="18"/>
  <c r="C43" i="17"/>
  <c r="L37" i="23"/>
  <c r="K37" i="23"/>
  <c r="J37" i="23"/>
  <c r="I37" i="23"/>
  <c r="H37" i="23"/>
  <c r="G37" i="23"/>
  <c r="F37" i="23"/>
  <c r="E37" i="23"/>
  <c r="D37" i="23"/>
  <c r="C37" i="23"/>
  <c r="L36" i="23"/>
  <c r="K36" i="23"/>
  <c r="J36" i="23"/>
  <c r="I36" i="23"/>
  <c r="H36" i="23"/>
  <c r="G36" i="23"/>
  <c r="F36" i="23"/>
  <c r="E36" i="23"/>
  <c r="D36" i="23"/>
  <c r="C36" i="23"/>
  <c r="L35" i="23"/>
  <c r="K35" i="23"/>
  <c r="J35" i="23"/>
  <c r="I35" i="23"/>
  <c r="H35" i="23"/>
  <c r="G35" i="23"/>
  <c r="F35" i="23"/>
  <c r="E35" i="23"/>
  <c r="D35" i="23"/>
  <c r="C35" i="23"/>
  <c r="L15" i="23"/>
  <c r="K15" i="23"/>
  <c r="J15" i="23"/>
  <c r="I15" i="23"/>
  <c r="H15" i="23"/>
  <c r="G15" i="23"/>
  <c r="F15" i="23"/>
  <c r="E15" i="23"/>
  <c r="D15" i="23"/>
  <c r="C15" i="23"/>
  <c r="L14" i="23"/>
  <c r="K14" i="23"/>
  <c r="J14" i="23"/>
  <c r="I14" i="23"/>
  <c r="H14" i="23"/>
  <c r="G14" i="23"/>
  <c r="F14" i="23"/>
  <c r="E14" i="23"/>
  <c r="D14" i="23"/>
  <c r="C14" i="23"/>
  <c r="L13" i="23"/>
  <c r="K13" i="23"/>
  <c r="J13" i="23"/>
  <c r="I13" i="23"/>
  <c r="H13" i="23"/>
  <c r="G13" i="23"/>
  <c r="F13" i="23"/>
  <c r="E13" i="23"/>
  <c r="D13" i="23"/>
  <c r="C13" i="23"/>
  <c r="L25" i="21"/>
  <c r="K25" i="21"/>
  <c r="J25" i="21"/>
  <c r="I25" i="21"/>
  <c r="H25" i="21"/>
  <c r="G25" i="21"/>
  <c r="F25" i="21"/>
  <c r="E25" i="21"/>
  <c r="D25" i="21"/>
  <c r="C25" i="21"/>
  <c r="L24" i="21"/>
  <c r="K24" i="21"/>
  <c r="J24" i="21"/>
  <c r="I24" i="21"/>
  <c r="H24" i="21"/>
  <c r="G24" i="21"/>
  <c r="F24" i="21"/>
  <c r="E24" i="21"/>
  <c r="D24" i="21"/>
  <c r="C24" i="21"/>
  <c r="L23" i="21"/>
  <c r="K23" i="21"/>
  <c r="J23" i="21"/>
  <c r="I23" i="21"/>
  <c r="H23" i="21"/>
  <c r="G23" i="21"/>
  <c r="F23" i="21"/>
  <c r="E23" i="21"/>
  <c r="D23" i="21"/>
  <c r="C23" i="21"/>
  <c r="L9" i="21"/>
  <c r="K9" i="21"/>
  <c r="J9" i="21"/>
  <c r="I9" i="21"/>
  <c r="H9" i="21"/>
  <c r="G9" i="21"/>
  <c r="F9" i="21"/>
  <c r="E9" i="21"/>
  <c r="D9" i="21"/>
  <c r="C9" i="21"/>
  <c r="L8" i="21"/>
  <c r="K8" i="21"/>
  <c r="J8" i="21"/>
  <c r="I8" i="21"/>
  <c r="H8" i="21"/>
  <c r="G8" i="21"/>
  <c r="F8" i="21"/>
  <c r="E8" i="21"/>
  <c r="D8" i="21"/>
  <c r="C8" i="21"/>
  <c r="L7" i="21"/>
  <c r="K7" i="21"/>
  <c r="J7" i="21"/>
  <c r="I7" i="21"/>
  <c r="H7" i="21"/>
  <c r="G7" i="21"/>
  <c r="F7" i="21"/>
  <c r="E7" i="21"/>
  <c r="D7" i="21"/>
  <c r="C7" i="21"/>
  <c r="L21" i="20"/>
  <c r="K21" i="20"/>
  <c r="J21" i="20"/>
  <c r="I21" i="20"/>
  <c r="H21" i="20"/>
  <c r="G21" i="20"/>
  <c r="F21" i="20"/>
  <c r="E21" i="20"/>
  <c r="D21" i="20"/>
  <c r="C21" i="20"/>
  <c r="L20" i="20"/>
  <c r="K20" i="20"/>
  <c r="J20" i="20"/>
  <c r="I20" i="20"/>
  <c r="H20" i="20"/>
  <c r="G20" i="20"/>
  <c r="F20" i="20"/>
  <c r="E20" i="20"/>
  <c r="D20" i="20"/>
  <c r="C20" i="20"/>
  <c r="L19" i="20"/>
  <c r="K19" i="20"/>
  <c r="J19" i="20"/>
  <c r="I19" i="20"/>
  <c r="H19" i="20"/>
  <c r="G19" i="20"/>
  <c r="F19" i="20"/>
  <c r="E19" i="20"/>
  <c r="D19" i="20"/>
  <c r="C19" i="20"/>
  <c r="L7" i="20"/>
  <c r="K7" i="20"/>
  <c r="J7" i="20"/>
  <c r="I7" i="20"/>
  <c r="H7" i="20"/>
  <c r="G7" i="20"/>
  <c r="F7" i="20"/>
  <c r="E7" i="20"/>
  <c r="D7" i="20"/>
  <c r="C7" i="20"/>
  <c r="L6" i="20"/>
  <c r="K6" i="20"/>
  <c r="J6" i="20"/>
  <c r="I6" i="20"/>
  <c r="H6" i="20"/>
  <c r="G6" i="20"/>
  <c r="F6" i="20"/>
  <c r="E6" i="20"/>
  <c r="D6" i="20"/>
  <c r="C6" i="20"/>
  <c r="L5" i="20"/>
  <c r="K5" i="20"/>
  <c r="J5" i="20"/>
  <c r="I5" i="20"/>
  <c r="H5" i="20"/>
  <c r="G5" i="20"/>
  <c r="F5" i="20"/>
  <c r="E5" i="20"/>
  <c r="D5" i="20"/>
  <c r="C5" i="20"/>
  <c r="L21" i="19"/>
  <c r="K21" i="19"/>
  <c r="J21" i="19"/>
  <c r="I21" i="19"/>
  <c r="H21" i="19"/>
  <c r="G21" i="19"/>
  <c r="F21" i="19"/>
  <c r="E21" i="19"/>
  <c r="D21" i="19"/>
  <c r="C21" i="19"/>
  <c r="L20" i="19"/>
  <c r="K20" i="19"/>
  <c r="J20" i="19"/>
  <c r="I20" i="19"/>
  <c r="H20" i="19"/>
  <c r="G20" i="19"/>
  <c r="F20" i="19"/>
  <c r="E20" i="19"/>
  <c r="D20" i="19"/>
  <c r="C20" i="19"/>
  <c r="L19" i="19"/>
  <c r="K19" i="19"/>
  <c r="J19" i="19"/>
  <c r="I19" i="19"/>
  <c r="H19" i="19"/>
  <c r="G19" i="19"/>
  <c r="F19" i="19"/>
  <c r="E19" i="19"/>
  <c r="D19" i="19"/>
  <c r="C19" i="19"/>
  <c r="L7" i="19"/>
  <c r="K7" i="19"/>
  <c r="J7" i="19"/>
  <c r="I7" i="19"/>
  <c r="H7" i="19"/>
  <c r="H8" i="19" s="1"/>
  <c r="H9" i="19" s="1"/>
  <c r="G7" i="19"/>
  <c r="F7" i="19"/>
  <c r="E7" i="19"/>
  <c r="D7" i="19"/>
  <c r="C7" i="19"/>
  <c r="L6" i="19"/>
  <c r="K6" i="19"/>
  <c r="J6" i="19"/>
  <c r="I6" i="19"/>
  <c r="H6" i="19"/>
  <c r="G6" i="19"/>
  <c r="F6" i="19"/>
  <c r="E6" i="19"/>
  <c r="D6" i="19"/>
  <c r="C6" i="19"/>
  <c r="L5" i="19"/>
  <c r="K5" i="19"/>
  <c r="J5" i="19"/>
  <c r="I5" i="19"/>
  <c r="H5" i="19"/>
  <c r="G5" i="19"/>
  <c r="F5" i="19"/>
  <c r="E5" i="19"/>
  <c r="D5" i="19"/>
  <c r="C5" i="19"/>
  <c r="L25" i="18"/>
  <c r="K25" i="18"/>
  <c r="J25" i="18"/>
  <c r="I25" i="18"/>
  <c r="H25" i="18"/>
  <c r="G25" i="18"/>
  <c r="F25" i="18"/>
  <c r="E25" i="18"/>
  <c r="D25" i="18"/>
  <c r="C25" i="18"/>
  <c r="L24" i="18"/>
  <c r="K24" i="18"/>
  <c r="J24" i="18"/>
  <c r="I24" i="18"/>
  <c r="H24" i="18"/>
  <c r="G24" i="18"/>
  <c r="F24" i="18"/>
  <c r="E24" i="18"/>
  <c r="D24" i="18"/>
  <c r="C24" i="18"/>
  <c r="L23" i="18"/>
  <c r="K23" i="18"/>
  <c r="J23" i="18"/>
  <c r="I23" i="18"/>
  <c r="H23" i="18"/>
  <c r="G23" i="18"/>
  <c r="F23" i="18"/>
  <c r="E23" i="18"/>
  <c r="D23" i="18"/>
  <c r="C23" i="18"/>
  <c r="L9" i="18"/>
  <c r="K9" i="18"/>
  <c r="J9" i="18"/>
  <c r="I9" i="18"/>
  <c r="H9" i="18"/>
  <c r="G9" i="18"/>
  <c r="F9" i="18"/>
  <c r="E9" i="18"/>
  <c r="D9" i="18"/>
  <c r="C9" i="18"/>
  <c r="L8" i="18"/>
  <c r="K8" i="18"/>
  <c r="J8" i="18"/>
  <c r="I8" i="18"/>
  <c r="H8" i="18"/>
  <c r="G8" i="18"/>
  <c r="F8" i="18"/>
  <c r="E8" i="18"/>
  <c r="D8" i="18"/>
  <c r="C8" i="18"/>
  <c r="L7" i="18"/>
  <c r="K7" i="18"/>
  <c r="J7" i="18"/>
  <c r="I7" i="18"/>
  <c r="H7" i="18"/>
  <c r="G7" i="18"/>
  <c r="F7" i="18"/>
  <c r="E7" i="18"/>
  <c r="D7" i="18"/>
  <c r="C7" i="18"/>
  <c r="L37" i="17"/>
  <c r="K37" i="17"/>
  <c r="J37" i="17"/>
  <c r="I37" i="17"/>
  <c r="H37" i="17"/>
  <c r="G37" i="17"/>
  <c r="F37" i="17"/>
  <c r="E37" i="17"/>
  <c r="D37" i="17"/>
  <c r="C37" i="17"/>
  <c r="L36" i="17"/>
  <c r="K36" i="17"/>
  <c r="J36" i="17"/>
  <c r="I36" i="17"/>
  <c r="H36" i="17"/>
  <c r="G36" i="17"/>
  <c r="F36" i="17"/>
  <c r="E36" i="17"/>
  <c r="D36" i="17"/>
  <c r="C36" i="17"/>
  <c r="L35" i="17"/>
  <c r="K35" i="17"/>
  <c r="J35" i="17"/>
  <c r="I35" i="17"/>
  <c r="H35" i="17"/>
  <c r="G35" i="17"/>
  <c r="F35" i="17"/>
  <c r="E35" i="17"/>
  <c r="D35" i="17"/>
  <c r="C35" i="17"/>
  <c r="D15" i="17"/>
  <c r="E15" i="17"/>
  <c r="F15" i="17"/>
  <c r="G15" i="17"/>
  <c r="H15" i="17"/>
  <c r="I15" i="17"/>
  <c r="J15" i="17"/>
  <c r="K15" i="17"/>
  <c r="L15" i="17"/>
  <c r="C15" i="17"/>
  <c r="D14" i="17"/>
  <c r="E14" i="17"/>
  <c r="F14" i="17"/>
  <c r="G14" i="17"/>
  <c r="H14" i="17"/>
  <c r="I14" i="17"/>
  <c r="J14" i="17"/>
  <c r="K14" i="17"/>
  <c r="L14" i="17"/>
  <c r="C14" i="17"/>
  <c r="D13" i="17"/>
  <c r="E13" i="17"/>
  <c r="F13" i="17"/>
  <c r="G13" i="17"/>
  <c r="H13" i="17"/>
  <c r="I13" i="17"/>
  <c r="J13" i="17"/>
  <c r="K13" i="17"/>
  <c r="L13" i="17"/>
  <c r="C13" i="17"/>
  <c r="D9" i="16"/>
  <c r="C14" i="16"/>
  <c r="C6" i="16"/>
  <c r="C7" i="16" s="1"/>
  <c r="D6" i="16"/>
  <c r="C13" i="15"/>
  <c r="C12" i="15"/>
  <c r="C11" i="15"/>
  <c r="C10" i="15"/>
  <c r="I8" i="15"/>
  <c r="J8" i="15"/>
  <c r="H8" i="15"/>
  <c r="G8" i="15"/>
  <c r="F8" i="15"/>
  <c r="E8" i="15"/>
  <c r="D8" i="15"/>
  <c r="C8" i="15"/>
  <c r="E13" i="14"/>
  <c r="E14" i="14"/>
  <c r="E15" i="14"/>
  <c r="E12" i="14"/>
  <c r="I8" i="14"/>
  <c r="C13" i="14" s="1"/>
  <c r="M8" i="14"/>
  <c r="Q8" i="14"/>
  <c r="G8" i="14"/>
  <c r="H8" i="14"/>
  <c r="J8" i="14"/>
  <c r="K8" i="14"/>
  <c r="L8" i="14"/>
  <c r="C14" i="14" s="1"/>
  <c r="N8" i="14"/>
  <c r="O8" i="14"/>
  <c r="C15" i="14" s="1"/>
  <c r="P8" i="14"/>
  <c r="F8" i="14"/>
  <c r="C12" i="14" s="1"/>
  <c r="E8" i="14"/>
  <c r="D8" i="14"/>
  <c r="C8" i="14"/>
  <c r="C11" i="14" s="1"/>
  <c r="M17" i="13"/>
  <c r="M16" i="13"/>
  <c r="M15" i="13"/>
  <c r="K15" i="13"/>
  <c r="F13" i="13"/>
  <c r="F14" i="13" s="1"/>
  <c r="E13" i="13"/>
  <c r="E14" i="13" s="1"/>
  <c r="D13" i="13"/>
  <c r="D14" i="13" s="1"/>
  <c r="C13" i="13"/>
  <c r="C14" i="13" s="1"/>
  <c r="C22" i="12"/>
  <c r="C8" i="12"/>
  <c r="C7" i="12"/>
  <c r="B7" i="12"/>
  <c r="B6" i="12"/>
  <c r="C6" i="12"/>
  <c r="A6" i="12"/>
  <c r="F13" i="11"/>
  <c r="F14" i="11" s="1"/>
  <c r="E13" i="11"/>
  <c r="E14" i="11" s="1"/>
  <c r="D13" i="11"/>
  <c r="D14" i="11" s="1"/>
  <c r="C13" i="11"/>
  <c r="C14" i="11" s="1"/>
  <c r="D18" i="9"/>
  <c r="D19" i="9" s="1"/>
  <c r="C18" i="9"/>
  <c r="C19" i="9" s="1"/>
  <c r="C22" i="9" s="1"/>
  <c r="E18" i="8"/>
  <c r="E19" i="8" s="1"/>
  <c r="D18" i="8"/>
  <c r="D19" i="8" s="1"/>
  <c r="C18" i="8"/>
  <c r="C19" i="8" s="1"/>
  <c r="C22" i="8" s="1"/>
  <c r="D23" i="7"/>
  <c r="E23" i="7"/>
  <c r="E18" i="7"/>
  <c r="E19" i="7" s="1"/>
  <c r="D18" i="7"/>
  <c r="D19" i="7" s="1"/>
  <c r="C18" i="7"/>
  <c r="C19" i="7" s="1"/>
  <c r="C22" i="7" s="1"/>
  <c r="K18" i="6"/>
  <c r="K19" i="6" s="1"/>
  <c r="J18" i="6"/>
  <c r="J19" i="6" s="1"/>
  <c r="I18" i="6"/>
  <c r="I19" i="6" s="1"/>
  <c r="I22" i="6" s="1"/>
  <c r="H18" i="6"/>
  <c r="H19" i="6" s="1"/>
  <c r="G18" i="6"/>
  <c r="G19" i="6" s="1"/>
  <c r="F18" i="6"/>
  <c r="F19" i="6" s="1"/>
  <c r="F22" i="6" s="1"/>
  <c r="E18" i="6"/>
  <c r="E19" i="6" s="1"/>
  <c r="D18" i="6"/>
  <c r="D19" i="6" s="1"/>
  <c r="C18" i="6"/>
  <c r="C19" i="6" s="1"/>
  <c r="C22" i="6" s="1"/>
  <c r="K24" i="5"/>
  <c r="J24" i="5"/>
  <c r="J23" i="5"/>
  <c r="K23" i="5"/>
  <c r="K22" i="5"/>
  <c r="J22" i="5"/>
  <c r="I22" i="5"/>
  <c r="K21" i="5"/>
  <c r="J21" i="5"/>
  <c r="K20" i="5"/>
  <c r="J20" i="5"/>
  <c r="I19" i="5"/>
  <c r="J19" i="5"/>
  <c r="K19" i="5"/>
  <c r="K18" i="5"/>
  <c r="J18" i="5"/>
  <c r="I18" i="5"/>
  <c r="H18" i="5"/>
  <c r="H19" i="5" s="1"/>
  <c r="G18" i="5"/>
  <c r="G19" i="5" s="1"/>
  <c r="F18" i="5"/>
  <c r="F19" i="5" s="1"/>
  <c r="F22" i="5" s="1"/>
  <c r="E18" i="5"/>
  <c r="E19" i="5" s="1"/>
  <c r="D18" i="5"/>
  <c r="D19" i="5" s="1"/>
  <c r="C18" i="5"/>
  <c r="C19" i="5" s="1"/>
  <c r="C22" i="5" s="1"/>
  <c r="E10" i="30" l="1"/>
  <c r="E11" i="30" s="1"/>
  <c r="E12" i="30"/>
  <c r="E13" i="30" s="1"/>
  <c r="E14" i="30" s="1"/>
  <c r="D10" i="30"/>
  <c r="D11" i="30" s="1"/>
  <c r="D12" i="30"/>
  <c r="D13" i="30"/>
  <c r="D14" i="30" s="1"/>
  <c r="C51" i="28"/>
  <c r="C25" i="28"/>
  <c r="L46" i="28"/>
  <c r="L47" i="28" s="1"/>
  <c r="G46" i="28"/>
  <c r="G47" i="28" s="1"/>
  <c r="D46" i="28"/>
  <c r="D47" i="28" s="1"/>
  <c r="J46" i="28"/>
  <c r="J47" i="28" s="1"/>
  <c r="E46" i="28"/>
  <c r="E47" i="28" s="1"/>
  <c r="K46" i="28"/>
  <c r="K47" i="28" s="1"/>
  <c r="F46" i="28"/>
  <c r="F47" i="28" s="1"/>
  <c r="C46" i="28"/>
  <c r="C47" i="28" s="1"/>
  <c r="H46" i="28"/>
  <c r="H47" i="28" s="1"/>
  <c r="I46" i="28"/>
  <c r="I47" i="28" s="1"/>
  <c r="H20" i="28"/>
  <c r="H21" i="28" s="1"/>
  <c r="C20" i="28"/>
  <c r="C21" i="28" s="1"/>
  <c r="L20" i="28"/>
  <c r="L21" i="28" s="1"/>
  <c r="E20" i="28"/>
  <c r="E21" i="28" s="1"/>
  <c r="K20" i="28"/>
  <c r="K21" i="28" s="1"/>
  <c r="G20" i="28"/>
  <c r="G21" i="28" s="1"/>
  <c r="I20" i="28"/>
  <c r="I21" i="28" s="1"/>
  <c r="D20" i="28"/>
  <c r="D21" i="28" s="1"/>
  <c r="J20" i="28"/>
  <c r="J21" i="28" s="1"/>
  <c r="F20" i="28"/>
  <c r="F21" i="28" s="1"/>
  <c r="C39" i="27"/>
  <c r="I34" i="27"/>
  <c r="I35" i="27" s="1"/>
  <c r="C19" i="27"/>
  <c r="L34" i="27"/>
  <c r="L35" i="27" s="1"/>
  <c r="G34" i="27"/>
  <c r="G35" i="27" s="1"/>
  <c r="D34" i="27"/>
  <c r="D35" i="27" s="1"/>
  <c r="K14" i="27"/>
  <c r="K15" i="27" s="1"/>
  <c r="C18" i="27" s="1"/>
  <c r="E14" i="27"/>
  <c r="E15" i="27" s="1"/>
  <c r="K34" i="27"/>
  <c r="K35" i="27" s="1"/>
  <c r="E34" i="27"/>
  <c r="E35" i="27" s="1"/>
  <c r="L14" i="27"/>
  <c r="L15" i="27" s="1"/>
  <c r="D14" i="27"/>
  <c r="D15" i="27" s="1"/>
  <c r="J34" i="27"/>
  <c r="J35" i="27" s="1"/>
  <c r="C34" i="27"/>
  <c r="C35" i="27" s="1"/>
  <c r="G14" i="27"/>
  <c r="G15" i="27" s="1"/>
  <c r="F34" i="27"/>
  <c r="F35" i="27" s="1"/>
  <c r="J14" i="27"/>
  <c r="J15" i="27" s="1"/>
  <c r="F14" i="27"/>
  <c r="F15" i="27" s="1"/>
  <c r="H14" i="27"/>
  <c r="H15" i="27" s="1"/>
  <c r="H34" i="27"/>
  <c r="H35" i="27" s="1"/>
  <c r="I14" i="27"/>
  <c r="I15" i="27" s="1"/>
  <c r="C14" i="27"/>
  <c r="C15" i="27" s="1"/>
  <c r="C25" i="26"/>
  <c r="C51" i="26"/>
  <c r="K46" i="26"/>
  <c r="K47" i="26" s="1"/>
  <c r="G46" i="26"/>
  <c r="G47" i="26" s="1"/>
  <c r="E46" i="26"/>
  <c r="E47" i="26" s="1"/>
  <c r="C46" i="26"/>
  <c r="C47" i="26" s="1"/>
  <c r="L46" i="26"/>
  <c r="L47" i="26" s="1"/>
  <c r="C49" i="26" s="1"/>
  <c r="F46" i="26"/>
  <c r="F47" i="26" s="1"/>
  <c r="D46" i="26"/>
  <c r="D47" i="26" s="1"/>
  <c r="I46" i="26"/>
  <c r="I47" i="26" s="1"/>
  <c r="J46" i="26"/>
  <c r="J47" i="26" s="1"/>
  <c r="H46" i="26"/>
  <c r="H47" i="26" s="1"/>
  <c r="L20" i="26"/>
  <c r="L21" i="26" s="1"/>
  <c r="E20" i="26"/>
  <c r="E21" i="26" s="1"/>
  <c r="K20" i="26"/>
  <c r="K21" i="26" s="1"/>
  <c r="J20" i="26"/>
  <c r="J21" i="26" s="1"/>
  <c r="D20" i="26"/>
  <c r="D21" i="26" s="1"/>
  <c r="H20" i="26"/>
  <c r="H21" i="26" s="1"/>
  <c r="C20" i="26"/>
  <c r="C21" i="26" s="1"/>
  <c r="I20" i="26"/>
  <c r="I21" i="26" s="1"/>
  <c r="G20" i="26"/>
  <c r="G21" i="26" s="1"/>
  <c r="F20" i="26"/>
  <c r="F21" i="26" s="1"/>
  <c r="C19" i="25"/>
  <c r="C39" i="25"/>
  <c r="C14" i="25"/>
  <c r="C15" i="25" s="1"/>
  <c r="I34" i="25"/>
  <c r="I35" i="25" s="1"/>
  <c r="D34" i="25"/>
  <c r="D35" i="25" s="1"/>
  <c r="G14" i="25"/>
  <c r="G15" i="25" s="1"/>
  <c r="F14" i="25"/>
  <c r="F15" i="25" s="1"/>
  <c r="E14" i="25"/>
  <c r="E15" i="25" s="1"/>
  <c r="D14" i="25"/>
  <c r="D15" i="25" s="1"/>
  <c r="L34" i="25"/>
  <c r="L35" i="25" s="1"/>
  <c r="C34" i="25"/>
  <c r="C35" i="25" s="1"/>
  <c r="H34" i="25"/>
  <c r="H35" i="25" s="1"/>
  <c r="F34" i="25"/>
  <c r="F35" i="25" s="1"/>
  <c r="J34" i="25"/>
  <c r="J35" i="25" s="1"/>
  <c r="G34" i="25"/>
  <c r="G35" i="25" s="1"/>
  <c r="K34" i="25"/>
  <c r="K35" i="25" s="1"/>
  <c r="E34" i="25"/>
  <c r="E35" i="25" s="1"/>
  <c r="C18" i="25"/>
  <c r="H16" i="23"/>
  <c r="H17" i="23" s="1"/>
  <c r="D26" i="21"/>
  <c r="D27" i="21" s="1"/>
  <c r="I10" i="21"/>
  <c r="I11" i="21" s="1"/>
  <c r="H22" i="20"/>
  <c r="H23" i="20" s="1"/>
  <c r="L38" i="23"/>
  <c r="L39" i="23" s="1"/>
  <c r="I38" i="23"/>
  <c r="I39" i="23" s="1"/>
  <c r="F38" i="23"/>
  <c r="F39" i="23" s="1"/>
  <c r="K38" i="23"/>
  <c r="K39" i="23" s="1"/>
  <c r="H38" i="23"/>
  <c r="H39" i="23" s="1"/>
  <c r="G38" i="23"/>
  <c r="G39" i="23" s="1"/>
  <c r="D38" i="23"/>
  <c r="D39" i="23" s="1"/>
  <c r="C38" i="23"/>
  <c r="C39" i="23" s="1"/>
  <c r="J38" i="23"/>
  <c r="J39" i="23" s="1"/>
  <c r="E38" i="23"/>
  <c r="E39" i="23" s="1"/>
  <c r="L16" i="23"/>
  <c r="L17" i="23" s="1"/>
  <c r="I16" i="23"/>
  <c r="I17" i="23" s="1"/>
  <c r="G16" i="23"/>
  <c r="G17" i="23" s="1"/>
  <c r="F16" i="23"/>
  <c r="F17" i="23" s="1"/>
  <c r="E16" i="23"/>
  <c r="E17" i="23" s="1"/>
  <c r="D16" i="23"/>
  <c r="D17" i="23" s="1"/>
  <c r="C19" i="23" s="1"/>
  <c r="K16" i="23"/>
  <c r="K17" i="23" s="1"/>
  <c r="J16" i="23"/>
  <c r="J17" i="23" s="1"/>
  <c r="C16" i="23"/>
  <c r="C17" i="23" s="1"/>
  <c r="G10" i="21"/>
  <c r="G11" i="21" s="1"/>
  <c r="L26" i="21"/>
  <c r="L27" i="21" s="1"/>
  <c r="E26" i="21"/>
  <c r="E27" i="21" s="1"/>
  <c r="K26" i="21"/>
  <c r="K27" i="21" s="1"/>
  <c r="H26" i="21"/>
  <c r="H27" i="21" s="1"/>
  <c r="C26" i="21"/>
  <c r="C27" i="21" s="1"/>
  <c r="J26" i="21"/>
  <c r="J27" i="21" s="1"/>
  <c r="F26" i="21"/>
  <c r="F27" i="21" s="1"/>
  <c r="I26" i="21"/>
  <c r="I27" i="21" s="1"/>
  <c r="G26" i="21"/>
  <c r="G27" i="21" s="1"/>
  <c r="L10" i="21"/>
  <c r="L11" i="21" s="1"/>
  <c r="E10" i="21"/>
  <c r="E11" i="21" s="1"/>
  <c r="H10" i="21"/>
  <c r="H11" i="21" s="1"/>
  <c r="D10" i="21"/>
  <c r="D11" i="21" s="1"/>
  <c r="K10" i="21"/>
  <c r="K11" i="21" s="1"/>
  <c r="C10" i="21"/>
  <c r="C11" i="21" s="1"/>
  <c r="J10" i="21"/>
  <c r="J11" i="21" s="1"/>
  <c r="F10" i="21"/>
  <c r="F11" i="21" s="1"/>
  <c r="J22" i="20"/>
  <c r="J23" i="20" s="1"/>
  <c r="L22" i="20"/>
  <c r="L23" i="20" s="1"/>
  <c r="I22" i="20"/>
  <c r="I23" i="20" s="1"/>
  <c r="G22" i="20"/>
  <c r="G23" i="20" s="1"/>
  <c r="F22" i="20"/>
  <c r="F23" i="20" s="1"/>
  <c r="D22" i="20"/>
  <c r="D23" i="20" s="1"/>
  <c r="C22" i="20"/>
  <c r="C23" i="20" s="1"/>
  <c r="K22" i="20"/>
  <c r="K23" i="20" s="1"/>
  <c r="E22" i="20"/>
  <c r="E23" i="20" s="1"/>
  <c r="H8" i="20"/>
  <c r="H9" i="20" s="1"/>
  <c r="C8" i="20"/>
  <c r="C9" i="20" s="1"/>
  <c r="K8" i="20"/>
  <c r="K9" i="20" s="1"/>
  <c r="D8" i="20"/>
  <c r="D9" i="20" s="1"/>
  <c r="L8" i="20"/>
  <c r="L9" i="20" s="1"/>
  <c r="G8" i="20"/>
  <c r="G9" i="20" s="1"/>
  <c r="J8" i="20"/>
  <c r="J9" i="20" s="1"/>
  <c r="E8" i="20"/>
  <c r="E9" i="20" s="1"/>
  <c r="I8" i="20"/>
  <c r="I9" i="20" s="1"/>
  <c r="F8" i="20"/>
  <c r="F9" i="20" s="1"/>
  <c r="J22" i="19"/>
  <c r="J23" i="19" s="1"/>
  <c r="G22" i="19"/>
  <c r="G23" i="19" s="1"/>
  <c r="D22" i="19"/>
  <c r="D23" i="19" s="1"/>
  <c r="L22" i="19"/>
  <c r="L23" i="19" s="1"/>
  <c r="E22" i="19"/>
  <c r="E23" i="19" s="1"/>
  <c r="K22" i="19"/>
  <c r="K23" i="19" s="1"/>
  <c r="H22" i="19"/>
  <c r="H23" i="19" s="1"/>
  <c r="C22" i="19"/>
  <c r="C23" i="19" s="1"/>
  <c r="I22" i="19"/>
  <c r="I23" i="19" s="1"/>
  <c r="F22" i="19"/>
  <c r="F23" i="19" s="1"/>
  <c r="L8" i="19"/>
  <c r="L9" i="19" s="1"/>
  <c r="G8" i="19"/>
  <c r="G9" i="19" s="1"/>
  <c r="E8" i="19"/>
  <c r="E9" i="19" s="1"/>
  <c r="K8" i="19"/>
  <c r="K9" i="19" s="1"/>
  <c r="F8" i="19"/>
  <c r="F9" i="19" s="1"/>
  <c r="D8" i="19"/>
  <c r="D9" i="19" s="1"/>
  <c r="C8" i="19"/>
  <c r="C9" i="19" s="1"/>
  <c r="J8" i="19"/>
  <c r="J9" i="19" s="1"/>
  <c r="I8" i="19"/>
  <c r="I9" i="19" s="1"/>
  <c r="D10" i="18"/>
  <c r="D11" i="18" s="1"/>
  <c r="E10" i="18"/>
  <c r="E11" i="18" s="1"/>
  <c r="E26" i="18"/>
  <c r="E27" i="18" s="1"/>
  <c r="C26" i="18"/>
  <c r="C27" i="18" s="1"/>
  <c r="L10" i="18"/>
  <c r="L11" i="18" s="1"/>
  <c r="K10" i="18"/>
  <c r="K11" i="18" s="1"/>
  <c r="J10" i="18"/>
  <c r="J11" i="18" s="1"/>
  <c r="I10" i="18"/>
  <c r="I11" i="18" s="1"/>
  <c r="H10" i="18"/>
  <c r="H11" i="18" s="1"/>
  <c r="G10" i="18"/>
  <c r="G11" i="18" s="1"/>
  <c r="F10" i="18"/>
  <c r="F11" i="18" s="1"/>
  <c r="D26" i="18"/>
  <c r="D27" i="18" s="1"/>
  <c r="L26" i="18"/>
  <c r="L27" i="18" s="1"/>
  <c r="H26" i="18"/>
  <c r="H27" i="18" s="1"/>
  <c r="G26" i="18"/>
  <c r="G27" i="18" s="1"/>
  <c r="C10" i="18"/>
  <c r="C11" i="18" s="1"/>
  <c r="K26" i="18"/>
  <c r="K27" i="18" s="1"/>
  <c r="I26" i="18"/>
  <c r="I27" i="18" s="1"/>
  <c r="F26" i="18"/>
  <c r="F27" i="18" s="1"/>
  <c r="J26" i="18"/>
  <c r="J27" i="18" s="1"/>
  <c r="G38" i="17"/>
  <c r="G39" i="17" s="1"/>
  <c r="G16" i="17"/>
  <c r="G17" i="17" s="1"/>
  <c r="L38" i="17"/>
  <c r="L39" i="17" s="1"/>
  <c r="F38" i="17"/>
  <c r="F39" i="17" s="1"/>
  <c r="E38" i="17"/>
  <c r="E39" i="17" s="1"/>
  <c r="D38" i="17"/>
  <c r="D39" i="17" s="1"/>
  <c r="C38" i="17"/>
  <c r="C39" i="17" s="1"/>
  <c r="C42" i="17" s="1"/>
  <c r="J38" i="17"/>
  <c r="J39" i="17" s="1"/>
  <c r="I38" i="17"/>
  <c r="I39" i="17" s="1"/>
  <c r="K38" i="17"/>
  <c r="K39" i="17" s="1"/>
  <c r="H38" i="17"/>
  <c r="H39" i="17" s="1"/>
  <c r="D16" i="17"/>
  <c r="D17" i="17" s="1"/>
  <c r="H16" i="17"/>
  <c r="H17" i="17" s="1"/>
  <c r="J16" i="17"/>
  <c r="J17" i="17" s="1"/>
  <c r="E16" i="17"/>
  <c r="E17" i="17" s="1"/>
  <c r="F16" i="17"/>
  <c r="F17" i="17" s="1"/>
  <c r="I16" i="17"/>
  <c r="I17" i="17" s="1"/>
  <c r="K16" i="17"/>
  <c r="K17" i="17" s="1"/>
  <c r="L16" i="17"/>
  <c r="L17" i="17" s="1"/>
  <c r="C16" i="17"/>
  <c r="C17" i="17" s="1"/>
  <c r="C20" i="17" s="1"/>
  <c r="C19" i="17"/>
  <c r="D8" i="16"/>
  <c r="D7" i="16"/>
  <c r="D13" i="14"/>
  <c r="D14" i="14"/>
  <c r="D15" i="14"/>
  <c r="D12" i="14"/>
  <c r="K16" i="13"/>
  <c r="D17" i="13"/>
  <c r="I15" i="13"/>
  <c r="I16" i="13" s="1"/>
  <c r="D15" i="13"/>
  <c r="D16" i="13" s="1"/>
  <c r="H15" i="13"/>
  <c r="H16" i="13" s="1"/>
  <c r="C17" i="13"/>
  <c r="D18" i="13" s="1"/>
  <c r="D19" i="13" s="1"/>
  <c r="I15" i="11"/>
  <c r="I16" i="11" s="1"/>
  <c r="K15" i="11"/>
  <c r="K16" i="11" s="1"/>
  <c r="C17" i="11"/>
  <c r="H15" i="11"/>
  <c r="H16" i="11" s="1"/>
  <c r="D15" i="11"/>
  <c r="D16" i="11" s="1"/>
  <c r="D17" i="11"/>
  <c r="D20" i="9"/>
  <c r="D21" i="9" s="1"/>
  <c r="D22" i="9"/>
  <c r="D23" i="9"/>
  <c r="D24" i="9" s="1"/>
  <c r="E20" i="8"/>
  <c r="E21" i="8" s="1"/>
  <c r="E22" i="8"/>
  <c r="D20" i="8"/>
  <c r="D21" i="8" s="1"/>
  <c r="D22" i="8"/>
  <c r="D23" i="8" s="1"/>
  <c r="D24" i="8" s="1"/>
  <c r="E23" i="8"/>
  <c r="E24" i="8" s="1"/>
  <c r="E22" i="7"/>
  <c r="E24" i="7" s="1"/>
  <c r="E20" i="7"/>
  <c r="E21" i="7" s="1"/>
  <c r="D22" i="7"/>
  <c r="D24" i="7" s="1"/>
  <c r="D20" i="7"/>
  <c r="D21" i="7" s="1"/>
  <c r="K20" i="6"/>
  <c r="K21" i="6" s="1"/>
  <c r="K22" i="6"/>
  <c r="J20" i="6"/>
  <c r="J21" i="6" s="1"/>
  <c r="J22" i="6"/>
  <c r="J23" i="6" s="1"/>
  <c r="J24" i="6" s="1"/>
  <c r="K23" i="6"/>
  <c r="K24" i="6" s="1"/>
  <c r="H20" i="6"/>
  <c r="H21" i="6" s="1"/>
  <c r="H22" i="6"/>
  <c r="H23" i="6" s="1"/>
  <c r="H24" i="6" s="1"/>
  <c r="G20" i="6"/>
  <c r="G21" i="6" s="1"/>
  <c r="G22" i="6"/>
  <c r="G23" i="6" s="1"/>
  <c r="G24" i="6" s="1"/>
  <c r="E20" i="6"/>
  <c r="E21" i="6" s="1"/>
  <c r="E22" i="6"/>
  <c r="E23" i="6" s="1"/>
  <c r="E24" i="6" s="1"/>
  <c r="D20" i="6"/>
  <c r="D21" i="6" s="1"/>
  <c r="D22" i="6"/>
  <c r="D23" i="6"/>
  <c r="D24" i="6" s="1"/>
  <c r="H20" i="5"/>
  <c r="H21" i="5" s="1"/>
  <c r="H22" i="5"/>
  <c r="G20" i="5"/>
  <c r="G21" i="5" s="1"/>
  <c r="G22" i="5"/>
  <c r="G23" i="5"/>
  <c r="G24" i="5" s="1"/>
  <c r="H23" i="5"/>
  <c r="H24" i="5" s="1"/>
  <c r="E20" i="5"/>
  <c r="E21" i="5" s="1"/>
  <c r="E22" i="5"/>
  <c r="E23" i="5" s="1"/>
  <c r="E24" i="5" s="1"/>
  <c r="D20" i="5"/>
  <c r="D21" i="5" s="1"/>
  <c r="D22" i="5"/>
  <c r="D23" i="5" s="1"/>
  <c r="D24" i="5" s="1"/>
  <c r="C48" i="28" l="1"/>
  <c r="C49" i="28"/>
  <c r="C50" i="28"/>
  <c r="C23" i="28"/>
  <c r="C22" i="28"/>
  <c r="C24" i="28"/>
  <c r="C37" i="27"/>
  <c r="C38" i="27"/>
  <c r="C36" i="27"/>
  <c r="C17" i="27"/>
  <c r="C16" i="27"/>
  <c r="C24" i="26"/>
  <c r="C22" i="26"/>
  <c r="C23" i="26"/>
  <c r="C48" i="26"/>
  <c r="C50" i="26"/>
  <c r="C16" i="25"/>
  <c r="C17" i="25"/>
  <c r="C37" i="25"/>
  <c r="C36" i="25"/>
  <c r="C38" i="25"/>
  <c r="C41" i="23"/>
  <c r="C42" i="23"/>
  <c r="C40" i="23"/>
  <c r="C18" i="23"/>
  <c r="C20" i="23"/>
  <c r="C29" i="21"/>
  <c r="C28" i="21"/>
  <c r="C30" i="21"/>
  <c r="C12" i="21"/>
  <c r="C13" i="21"/>
  <c r="C14" i="21"/>
  <c r="C24" i="20"/>
  <c r="C25" i="20"/>
  <c r="C26" i="20"/>
  <c r="C11" i="20"/>
  <c r="C10" i="20"/>
  <c r="C12" i="20"/>
  <c r="C26" i="19"/>
  <c r="C24" i="19"/>
  <c r="C25" i="19"/>
  <c r="C12" i="19"/>
  <c r="C11" i="19"/>
  <c r="C10" i="19"/>
  <c r="C28" i="18"/>
  <c r="C12" i="18"/>
  <c r="C30" i="18"/>
  <c r="C29" i="18"/>
  <c r="C14" i="18"/>
  <c r="C13" i="18"/>
  <c r="C18" i="17"/>
  <c r="C41" i="17"/>
  <c r="C40" i="17"/>
  <c r="C15" i="16"/>
  <c r="D10" i="16"/>
  <c r="D18" i="11"/>
  <c r="D19" i="11" s="1"/>
</calcChain>
</file>

<file path=xl/sharedStrings.xml><?xml version="1.0" encoding="utf-8"?>
<sst xmlns="http://schemas.openxmlformats.org/spreadsheetml/2006/main" count="702" uniqueCount="183">
  <si>
    <t>No.</t>
  </si>
  <si>
    <t>Avg (us per call)</t>
  </si>
  <si>
    <t>Experiment 1</t>
  </si>
  <si>
    <t>Avg (seconds per 1M calls)</t>
  </si>
  <si>
    <t>Experiment 2</t>
  </si>
  <si>
    <t>Difference (SCR/PCR - NR) (us per call)</t>
  </si>
  <si>
    <t>Difference (SCR/PCR - NR) (ns per call)</t>
  </si>
  <si>
    <t>Machine 1</t>
  </si>
  <si>
    <t>Machine Name</t>
  </si>
  <si>
    <t>Surface Laptop 4</t>
  </si>
  <si>
    <t>Nominal CPU Speed (GHz), also the Nominal No. Of Instructions Per ns</t>
  </si>
  <si>
    <t>Time to run 1M calls of "Math SubVI - Medium (NR).vi" (seconds)</t>
  </si>
  <si>
    <t>Time to run 1M calls of "Math SubVI - Medium (SCR).vi" (seconds)</t>
  </si>
  <si>
    <t>Time to run 1M calls of "Math SubVI - Medium (PCR).vi" (seconds)</t>
  </si>
  <si>
    <t>Time to run 1M calls of "Math SubVI - Simple (NR).vi" (seconds)</t>
  </si>
  <si>
    <t>Time to run 1M calls of "Math SubVI - Simple (SCR).vi" (seconds)</t>
  </si>
  <si>
    <t>Time to run 1M calls of "Math SubVI - Simple (PCR).vi" (seconds)</t>
  </si>
  <si>
    <t>Time to run 1M calls of "Math SubVI - Complex (NR).vi" (seconds)</t>
  </si>
  <si>
    <t>Time to run 1M calls of "Math SubVI - Complex (SCR).vi" (seconds)</t>
  </si>
  <si>
    <t>Time to run 1M calls of "Math SubVI - Complex (PCR).vi" (seconds)</t>
  </si>
  <si>
    <t>N/A</t>
  </si>
  <si>
    <t>Experiment 3</t>
  </si>
  <si>
    <t>Time to run 1M calls of NR VIs (chain of Simple and Medium) (seconds)</t>
  </si>
  <si>
    <t>Time to run 1M calls of SCR VIs (chain of Simple and Medium) (seconds)</t>
  </si>
  <si>
    <t>Time to run 1M calls of PCR VIs (chain of Simple and Medium) (seconds)</t>
  </si>
  <si>
    <t>Estimated No. of Instructions Per VI Call</t>
  </si>
  <si>
    <t>No. of CPU Instructions Saved Per VI Call</t>
  </si>
  <si>
    <t>CPU Instructions Saved Per VI Call (percent)</t>
  </si>
  <si>
    <t>Predictions based on Experiment 2:
A) Total number of CPU instructions per VI call: NR + NR = 207 + 439 = 646; SCR + SCR: 219 + 391 = 610; PCR + PCR: 95 + 297 = 392;
B) No. of CPU instructions saved per VI call: NR + NR = N/A (reference); SCR + SCR = -12 + 48 = 36; PCR + PCR = 112 + 142 = 254;</t>
  </si>
  <si>
    <t>Estimated No. of Instructions Per Loop Iteration</t>
  </si>
  <si>
    <t>No. of CPU Instructions Saved Per Loop Iteration</t>
  </si>
  <si>
    <t>CPU Instructions Saved Per Loop Iteration (percent)</t>
  </si>
  <si>
    <t>Avg (seconds per 1M iterations)</t>
  </si>
  <si>
    <t>Avg (us per iteration)</t>
  </si>
  <si>
    <t>Difference (SCR/PCR - NR) (us per iteration)</t>
  </si>
  <si>
    <t>Difference (SCR/PCR - NR) (ns per iteration)</t>
  </si>
  <si>
    <t>Experiment 4</t>
  </si>
  <si>
    <t>Time to run 1M calls of NR VIs (seconds)</t>
  </si>
  <si>
    <t>Time to run 1M calls of SCR VIs (seconds)</t>
  </si>
  <si>
    <t>Time to run 1M calls of PCR VIs (seconds)</t>
  </si>
  <si>
    <t>Experiment 5</t>
  </si>
  <si>
    <t>VI Properties</t>
  </si>
  <si>
    <t>Screenshot 1</t>
  </si>
  <si>
    <t>The VI Properties of "NR" VIs</t>
  </si>
  <si>
    <t>Screenshot 2</t>
  </si>
  <si>
    <t>The VI Properties of "SCR" VIs</t>
  </si>
  <si>
    <t>Screenshot 3</t>
  </si>
  <si>
    <t>The VI Properties of "PCR" VIs</t>
  </si>
  <si>
    <t>Experiment 6</t>
  </si>
  <si>
    <t>Time to run 1M calls of NR DBG OFF VIs (seconds)</t>
  </si>
  <si>
    <t>Time to run 1M calls of PCR DBG OFF VIs (seconds)</t>
  </si>
  <si>
    <t>From Experiment 5 ("Allow debugging" On)</t>
  </si>
  <si>
    <t>Reduction when DBG OFF (us)</t>
  </si>
  <si>
    <t>Reduction when DBG OFF (%)</t>
  </si>
  <si>
    <t>Time to run 1M calls of PCR DBG OFF INLN VIs (seconds)</t>
  </si>
  <si>
    <t>Effect of turning Inline on for PCR VIs</t>
  </si>
  <si>
    <t>Reduction (us)</t>
  </si>
  <si>
    <t>Reduction (%)</t>
  </si>
  <si>
    <t>Time to run 1M calls of PCR SBRTN VIs (seconds)</t>
  </si>
  <si>
    <t>Effect of turning Subroutine on for PCR VIs</t>
  </si>
  <si>
    <t>TBD. Slight performance decrease. To be repeated.</t>
  </si>
  <si>
    <t>3.8% faster than PCR</t>
  </si>
  <si>
    <t>3% slower than Inline</t>
  </si>
  <si>
    <t>Subroutine is less performant than inline by this much</t>
  </si>
  <si>
    <t>Experiment 7</t>
  </si>
  <si>
    <t>No. Of Iterations Executed - NR VIs - One Loop</t>
  </si>
  <si>
    <t>No. Of Iterations Executed - NR VIs - Two Loops</t>
  </si>
  <si>
    <t>No. Of Iterations Executed - NR VIs - Four Loops</t>
  </si>
  <si>
    <t>No. Of Iterations Executed - SCR VIs - One Loop</t>
  </si>
  <si>
    <t>No. Of Iterations Executed - SCR VIs - Two Loops</t>
  </si>
  <si>
    <t>No. Of Iterations Executed - SCR VIs - Four Loops</t>
  </si>
  <si>
    <t>No. Of Iterations Executed - PCR VIs - One Loop</t>
  </si>
  <si>
    <t>No. Of Iterations Executed - PCR VIs - Two Loops</t>
  </si>
  <si>
    <t>No. Of Iterations Executed - PCR VIs - Four Loops</t>
  </si>
  <si>
    <t>No. Of Iterations Executed - PCR + SBRTN VIs - One Loop</t>
  </si>
  <si>
    <t>No. Of Iterations Executed - PCR + SBRTN VIs - Two Loops</t>
  </si>
  <si>
    <t>No. Of Iterations Executed - PCR + SBRTN VIs - Four Loops</t>
  </si>
  <si>
    <t>No. Of Iterations Executed - PCR + INLN VIs - One Loop</t>
  </si>
  <si>
    <t>No. Of Iterations Executed - PCR + INLN VIs - Two Loops</t>
  </si>
  <si>
    <t>No. Of Iterations Executed - PCR + INLN VIs - Four Loops</t>
  </si>
  <si>
    <t>Avg no. of iterations</t>
  </si>
  <si>
    <t>NR VIs</t>
  </si>
  <si>
    <t>SCR VIs</t>
  </si>
  <si>
    <t>PCR VIs (DBG ON)</t>
  </si>
  <si>
    <t>PCR VIs (DBG OFF + Subroutine)</t>
  </si>
  <si>
    <t>PCR VIs (DBG OFF + Inline)</t>
  </si>
  <si>
    <t>Avg no. of iterations for NR VIs across 1, 2, 4 loops</t>
  </si>
  <si>
    <t>Avg no. of iterations for SCR VIs across 1, 2, 4 loops</t>
  </si>
  <si>
    <t>Avg no. of iterations for PCR VIs DBG ON across 1, 2, 4 loops</t>
  </si>
  <si>
    <t>Avg no. of iterations for PCR VIs Subroutine across 1, 2, 4 loops</t>
  </si>
  <si>
    <t>Performance increase w.r.t. NR</t>
  </si>
  <si>
    <t>Experiment 7 (rerun with Compiler setting set to 10 out of 10)</t>
  </si>
  <si>
    <t>PCR VIs (DBG OFF + Subroutine), EXE</t>
  </si>
  <si>
    <t>PCR VIs (DBG OFF + Inline), EXE</t>
  </si>
  <si>
    <t>No. Of Iterations Executed - PCR + SBRTN VIs - Four Loops (EXE)</t>
  </si>
  <si>
    <t>No. Of Iterations Executed - PCR + INLN VIs - Four Loops (EXE)</t>
  </si>
  <si>
    <t>Performance Increase of Inline w.r.t. Subroutine - One Loop - Dev Env (%)</t>
  </si>
  <si>
    <t>Performance Increase of Inline w.r.t. Subroutine - Two Loops - Dev Env (%)</t>
  </si>
  <si>
    <t>Performance Increase of Inline w.r.t. Subroutine - Four Loops - Dev Env (%)</t>
  </si>
  <si>
    <t>Performance Increase of Inline w.r.t. Subroutine - Four Loops - EXE (%)</t>
  </si>
  <si>
    <t>File Size of "Experiment 12.exe" when using subroutine VIs (bytes)</t>
  </si>
  <si>
    <t>File Size of "Experiment 12.exe" when using inline VIs (bytes)</t>
  </si>
  <si>
    <t>Avg EXE File Size (bytes)</t>
  </si>
  <si>
    <t>Avg EXE File Size (KB)</t>
  </si>
  <si>
    <t>Size Difference (bytes)</t>
  </si>
  <si>
    <t>No. Of SubVI Instances Per Loop</t>
  </si>
  <si>
    <t>No. Of Different SubVIs</t>
  </si>
  <si>
    <t>No. Of Loops</t>
  </si>
  <si>
    <t>Size Difference (%)</t>
  </si>
  <si>
    <t>Total Number Of SubVI Call Locations</t>
  </si>
  <si>
    <t>Size Difference Per Call Location (bytes per call location)</t>
  </si>
  <si>
    <t>Size Difference (KB)</t>
  </si>
  <si>
    <t>Experiment 12 - EXE File Size</t>
  </si>
  <si>
    <t>No. Of Iterations Block Of Text - Run 1</t>
  </si>
  <si>
    <t>No. Of Iterations Block Of Text - Run 2</t>
  </si>
  <si>
    <t>No. Of Iterations Block Of Text - Run 3</t>
  </si>
  <si>
    <t>No. Of Iterations Block Of Text - Run 4</t>
  </si>
  <si>
    <t>No. Of Iterations Block Of Text - Run 5</t>
  </si>
  <si>
    <t>No. Of Iterations Block Of Text - Run 6</t>
  </si>
  <si>
    <t>No. Of Iterations Block Of Text - Run 7</t>
  </si>
  <si>
    <t>No. Of Iterations Block Of Text - Run 8</t>
  </si>
  <si>
    <t>No. Of Iterations Block Of Text - Run 9</t>
  </si>
  <si>
    <t>No. Of Iterations Block Of Text - Run 10</t>
  </si>
  <si>
    <t>Avg No. Of Iterations</t>
  </si>
  <si>
    <t>Min No. Of Iterations</t>
  </si>
  <si>
    <t>Max No. Of Iterations</t>
  </si>
  <si>
    <t>Range (Max - Min)</t>
  </si>
  <si>
    <t>Range (percentage of Min)</t>
  </si>
  <si>
    <t>Smallest Range (Tightest Execution) (%)</t>
  </si>
  <si>
    <t>Largest Range (Loosest Execution) (%)</t>
  </si>
  <si>
    <t>Average Range (%)</t>
  </si>
  <si>
    <r>
      <t xml:space="preserve">Experiment 16.vi with </t>
    </r>
    <r>
      <rPr>
        <b/>
        <sz val="20"/>
        <color theme="1"/>
        <rFont val="Aptos Narrow"/>
        <family val="2"/>
      </rPr>
      <t>subroutine</t>
    </r>
    <r>
      <rPr>
        <sz val="20"/>
        <color theme="1"/>
        <rFont val="Aptos Narrow"/>
        <family val="2"/>
      </rPr>
      <t xml:space="preserve"> VIs (DDS "Case 1: Subroutines")</t>
    </r>
  </si>
  <si>
    <r>
      <t xml:space="preserve">Experiment 16.vi with </t>
    </r>
    <r>
      <rPr>
        <b/>
        <sz val="20"/>
        <color theme="1"/>
        <rFont val="Aptos Narrow"/>
        <family val="2"/>
      </rPr>
      <t>inline</t>
    </r>
    <r>
      <rPr>
        <sz val="20"/>
        <color theme="1"/>
        <rFont val="Aptos Narrow"/>
        <family val="2"/>
      </rPr>
      <t xml:space="preserve"> VIs (DDS "Case 2: Inline VIs")</t>
    </r>
  </si>
  <si>
    <r>
      <t xml:space="preserve">Experiment 12.vi with </t>
    </r>
    <r>
      <rPr>
        <b/>
        <sz val="20"/>
        <color theme="1"/>
        <rFont val="Aptos Narrow"/>
        <family val="2"/>
      </rPr>
      <t>subroutine</t>
    </r>
    <r>
      <rPr>
        <sz val="20"/>
        <color theme="1"/>
        <rFont val="Aptos Narrow"/>
        <family val="2"/>
      </rPr>
      <t xml:space="preserve"> VIs (DDS "Case 1: Subroutines")</t>
    </r>
  </si>
  <si>
    <r>
      <t xml:space="preserve">Experiment 12.vi with </t>
    </r>
    <r>
      <rPr>
        <b/>
        <sz val="20"/>
        <color theme="1"/>
        <rFont val="Aptos Narrow"/>
        <family val="2"/>
      </rPr>
      <t>inline</t>
    </r>
    <r>
      <rPr>
        <sz val="20"/>
        <color theme="1"/>
        <rFont val="Aptos Narrow"/>
        <family val="2"/>
      </rPr>
      <t xml:space="preserve"> VIs (DDS "Case 2: Inline VIs")</t>
    </r>
  </si>
  <si>
    <r>
      <t xml:space="preserve">Experiment 17.vi with </t>
    </r>
    <r>
      <rPr>
        <b/>
        <sz val="20"/>
        <color theme="1"/>
        <rFont val="Aptos Narrow"/>
        <family val="2"/>
      </rPr>
      <t>subroutine</t>
    </r>
    <r>
      <rPr>
        <sz val="20"/>
        <color theme="1"/>
        <rFont val="Aptos Narrow"/>
        <family val="2"/>
      </rPr>
      <t xml:space="preserve"> VIs (DDS "Case 1: Subroutines")</t>
    </r>
  </si>
  <si>
    <r>
      <t xml:space="preserve">Experiment 17.vi with </t>
    </r>
    <r>
      <rPr>
        <b/>
        <sz val="20"/>
        <color theme="1"/>
        <rFont val="Aptos Narrow"/>
        <family val="2"/>
      </rPr>
      <t>inline</t>
    </r>
    <r>
      <rPr>
        <sz val="20"/>
        <color theme="1"/>
        <rFont val="Aptos Narrow"/>
        <family val="2"/>
      </rPr>
      <t xml:space="preserve"> VIs (DDS "Case 2: Inline VIs")</t>
    </r>
  </si>
  <si>
    <t>Result Comparison (Experiments 12 to 17)</t>
  </si>
  <si>
    <t>Overall Average No. Of Iterations</t>
  </si>
  <si>
    <r>
      <t xml:space="preserve">Experiment 15.vi with </t>
    </r>
    <r>
      <rPr>
        <b/>
        <sz val="20"/>
        <color theme="1"/>
        <rFont val="Aptos Narrow"/>
        <family val="2"/>
      </rPr>
      <t>subroutine</t>
    </r>
    <r>
      <rPr>
        <sz val="20"/>
        <color theme="1"/>
        <rFont val="Aptos Narrow"/>
        <family val="2"/>
      </rPr>
      <t xml:space="preserve"> VIs (DDS "Case 1: Subroutines")</t>
    </r>
  </si>
  <si>
    <r>
      <t xml:space="preserve">Experiment 15.vi with </t>
    </r>
    <r>
      <rPr>
        <b/>
        <sz val="20"/>
        <color theme="1"/>
        <rFont val="Aptos Narrow"/>
        <family val="2"/>
      </rPr>
      <t>inline</t>
    </r>
    <r>
      <rPr>
        <sz val="20"/>
        <color theme="1"/>
        <rFont val="Aptos Narrow"/>
        <family val="2"/>
      </rPr>
      <t xml:space="preserve"> VIs (DDS "Case 2: Inline VIs")</t>
    </r>
  </si>
  <si>
    <r>
      <t xml:space="preserve">Experiment 14.vi with </t>
    </r>
    <r>
      <rPr>
        <b/>
        <sz val="20"/>
        <color theme="1"/>
        <rFont val="Aptos Narrow"/>
        <family val="2"/>
      </rPr>
      <t>subroutine</t>
    </r>
    <r>
      <rPr>
        <sz val="20"/>
        <color theme="1"/>
        <rFont val="Aptos Narrow"/>
        <family val="2"/>
      </rPr>
      <t xml:space="preserve"> VIs (DDS "Case 1: Subroutines")</t>
    </r>
  </si>
  <si>
    <r>
      <t xml:space="preserve">Experiment 14.vi with </t>
    </r>
    <r>
      <rPr>
        <b/>
        <sz val="20"/>
        <color theme="1"/>
        <rFont val="Aptos Narrow"/>
        <family val="2"/>
      </rPr>
      <t>inline</t>
    </r>
    <r>
      <rPr>
        <sz val="20"/>
        <color theme="1"/>
        <rFont val="Aptos Narrow"/>
        <family val="2"/>
      </rPr>
      <t xml:space="preserve"> VIs (DDS "Case 2: Inline VIs")</t>
    </r>
  </si>
  <si>
    <r>
      <t xml:space="preserve">Experiment 13.vi with </t>
    </r>
    <r>
      <rPr>
        <b/>
        <sz val="20"/>
        <color theme="1"/>
        <rFont val="Aptos Narrow"/>
        <family val="2"/>
      </rPr>
      <t>subroutine</t>
    </r>
    <r>
      <rPr>
        <sz val="20"/>
        <color theme="1"/>
        <rFont val="Aptos Narrow"/>
        <family val="2"/>
      </rPr>
      <t xml:space="preserve"> VIs (DDS "Case 1: Subroutines")</t>
    </r>
  </si>
  <si>
    <r>
      <t xml:space="preserve">Experiment 13.vi with </t>
    </r>
    <r>
      <rPr>
        <b/>
        <sz val="20"/>
        <color theme="1"/>
        <rFont val="Aptos Narrow"/>
        <family val="2"/>
      </rPr>
      <t>inline</t>
    </r>
    <r>
      <rPr>
        <sz val="20"/>
        <color theme="1"/>
        <rFont val="Aptos Narrow"/>
        <family val="2"/>
      </rPr>
      <t xml:space="preserve"> VIs (DDS "Case 2: Inline VIs")</t>
    </r>
  </si>
  <si>
    <r>
      <t xml:space="preserve">Experiment 18.vi with </t>
    </r>
    <r>
      <rPr>
        <b/>
        <sz val="20"/>
        <color theme="1"/>
        <rFont val="Aptos Narrow"/>
        <family val="2"/>
      </rPr>
      <t>subroutine</t>
    </r>
    <r>
      <rPr>
        <sz val="20"/>
        <color theme="1"/>
        <rFont val="Aptos Narrow"/>
        <family val="2"/>
      </rPr>
      <t xml:space="preserve"> VIs (DDS "Case 1: Subroutines")</t>
    </r>
  </si>
  <si>
    <r>
      <t xml:space="preserve">Experiment 18.vi with </t>
    </r>
    <r>
      <rPr>
        <b/>
        <sz val="20"/>
        <color theme="1"/>
        <rFont val="Aptos Narrow"/>
        <family val="2"/>
      </rPr>
      <t>inline</t>
    </r>
    <r>
      <rPr>
        <sz val="20"/>
        <color theme="1"/>
        <rFont val="Aptos Narrow"/>
        <family val="2"/>
      </rPr>
      <t xml:space="preserve"> VIs (DDS "Case 2: Inline VIs")</t>
    </r>
  </si>
  <si>
    <r>
      <t xml:space="preserve">Experiment 19.vi with </t>
    </r>
    <r>
      <rPr>
        <b/>
        <sz val="20"/>
        <color theme="1"/>
        <rFont val="Aptos Narrow"/>
        <family val="2"/>
      </rPr>
      <t>subroutine</t>
    </r>
    <r>
      <rPr>
        <sz val="20"/>
        <color theme="1"/>
        <rFont val="Aptos Narrow"/>
        <family val="2"/>
      </rPr>
      <t xml:space="preserve"> VIs (DDS "Case 1: Subroutines")</t>
    </r>
  </si>
  <si>
    <r>
      <t xml:space="preserve">Experiment 19.vi with </t>
    </r>
    <r>
      <rPr>
        <b/>
        <sz val="20"/>
        <color theme="1"/>
        <rFont val="Aptos Narrow"/>
        <family val="2"/>
      </rPr>
      <t>inline</t>
    </r>
    <r>
      <rPr>
        <sz val="20"/>
        <color theme="1"/>
        <rFont val="Aptos Narrow"/>
        <family val="2"/>
      </rPr>
      <t xml:space="preserve"> VIs (DDS "Case 2: Inline VIs")</t>
    </r>
  </si>
  <si>
    <r>
      <t xml:space="preserve">Experiment 20.vi with </t>
    </r>
    <r>
      <rPr>
        <b/>
        <sz val="20"/>
        <color theme="1"/>
        <rFont val="Aptos Narrow"/>
        <family val="2"/>
      </rPr>
      <t>subroutine</t>
    </r>
    <r>
      <rPr>
        <sz val="20"/>
        <color theme="1"/>
        <rFont val="Aptos Narrow"/>
        <family val="2"/>
      </rPr>
      <t xml:space="preserve"> VIs (DDS "Case 1: Subroutines")</t>
    </r>
  </si>
  <si>
    <r>
      <t xml:space="preserve">Experiment 20.vi with </t>
    </r>
    <r>
      <rPr>
        <b/>
        <sz val="20"/>
        <color theme="1"/>
        <rFont val="Aptos Narrow"/>
        <family val="2"/>
      </rPr>
      <t>inline</t>
    </r>
    <r>
      <rPr>
        <sz val="20"/>
        <color theme="1"/>
        <rFont val="Aptos Narrow"/>
        <family val="2"/>
      </rPr>
      <t xml:space="preserve"> VIs (DDS "Case 2: Inline VIs")</t>
    </r>
  </si>
  <si>
    <r>
      <t xml:space="preserve">Experiment 21.vi with </t>
    </r>
    <r>
      <rPr>
        <b/>
        <sz val="20"/>
        <color theme="1"/>
        <rFont val="Aptos Narrow"/>
        <family val="2"/>
      </rPr>
      <t>subroutine</t>
    </r>
    <r>
      <rPr>
        <sz val="20"/>
        <color theme="1"/>
        <rFont val="Aptos Narrow"/>
        <family val="2"/>
      </rPr>
      <t xml:space="preserve"> VIs (DDS "Case 1: Subroutines")</t>
    </r>
  </si>
  <si>
    <r>
      <t xml:space="preserve">Experiment 21.vi with </t>
    </r>
    <r>
      <rPr>
        <b/>
        <sz val="20"/>
        <color theme="1"/>
        <rFont val="Aptos Narrow"/>
        <family val="2"/>
      </rPr>
      <t>inline</t>
    </r>
    <r>
      <rPr>
        <sz val="20"/>
        <color theme="1"/>
        <rFont val="Aptos Narrow"/>
        <family val="2"/>
      </rPr>
      <t xml:space="preserve"> VIs (DDS "Case 2: Inline VIs")</t>
    </r>
  </si>
  <si>
    <t>Exp 14: 2 x For Loops (subroutine VIs)</t>
  </si>
  <si>
    <t>Exp 13: 4 x For Loops (subroutine VIs)</t>
  </si>
  <si>
    <t>Exp 18: 8 x For Loops (subroutine VIs)</t>
  </si>
  <si>
    <t>Exp 12: 10 x For Loops (subroutine VIs)</t>
  </si>
  <si>
    <t>Exp 19: 14 x For Loops (subroutine VIs)</t>
  </si>
  <si>
    <t>Exp 14: 2 x For Loops (inline VIs)</t>
  </si>
  <si>
    <t>Exp 13: 4 x For Loops (inline VIs)</t>
  </si>
  <si>
    <t>Exp 18: 8 x For Loops (inline VIs)</t>
  </si>
  <si>
    <t>Exp 12: 10 x For Loops (inline VIs)</t>
  </si>
  <si>
    <t>Exp 19: 14 x For Loops (inline VIs)</t>
  </si>
  <si>
    <t>Exp 15: 2 x While Loops (subroutine VIs)</t>
  </si>
  <si>
    <t>Exp 16: 4 x While Loops (subroutine VIs)</t>
  </si>
  <si>
    <t>Exp 17: 10 x While Loops (subroutine VIs)</t>
  </si>
  <si>
    <t>Exp 15: 2 x While Loops (inline VIs)</t>
  </si>
  <si>
    <t>Exp 16: 4 x While Loops (inline VIs)</t>
  </si>
  <si>
    <t>Exp 17: 10 x While Loops (inline VIs)</t>
  </si>
  <si>
    <t>Exp 20: 8 x While Loops (subroutine VIs)</t>
  </si>
  <si>
    <t>Exp 20: 8 x While Loops (inline VIs)</t>
  </si>
  <si>
    <t>Exp 21: 14 x While Loops (subroutine VIs)</t>
  </si>
  <si>
    <t>Exp 21: 14 x While Loops (inline VIs)</t>
  </si>
  <si>
    <t>Smallest Range (Tightest Execution out of 10 runs) (%)</t>
  </si>
  <si>
    <t>Largest Range (Loosest Execution out of 10 runs) (%)</t>
  </si>
  <si>
    <t>Average Range Over 10 Runs (%)</t>
  </si>
  <si>
    <t>Avg. No. Of Loop Iterations</t>
  </si>
  <si>
    <t>Experiment 22</t>
  </si>
  <si>
    <t>Time to run 1M calls of subroutine VIs (seconds)</t>
  </si>
  <si>
    <t>Time to run 1M calls of inline VIs (seconds)</t>
  </si>
  <si>
    <t>Time to run 1M calls of subroutine and inline VIs (seconds)</t>
  </si>
  <si>
    <t>Difference (inline/sub+inline) (us per iteration)</t>
  </si>
  <si>
    <t>Difference (inline/sub+inline) (ns per iteration)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</si>
</sst>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
    <numFmt numFmtId="165" formatCode="0.0%"/>
    <numFmt numFmtId="166" formatCode="0.0"/>
    <numFmt numFmtId="167" formatCode="0.0E+00"/>
    <numFmt numFmtId="168" formatCode="\+0.0%"/>
  </numFmts>
  <fonts count="20" x14ac:knownFonts="1">
    <font>
      <sz val="11"/>
      <color theme="1"/>
      <name val="Calibri"/>
      <family val="2"/>
      <scheme val="minor"/>
    </font>
    <font>
      <sz val="20"/>
      <color theme="1"/>
      <name val="Aptos Narrow"/>
      <family val="2"/>
    </font>
    <font>
      <sz val="11"/>
      <color theme="1"/>
      <name val="Aptos Narrow"/>
      <family val="2"/>
    </font>
    <font>
      <b/>
      <sz val="11"/>
      <color theme="1"/>
      <name val="Aptos Narrow"/>
      <family val="2"/>
    </font>
    <font>
      <sz val="11"/>
      <color theme="1"/>
      <name val="Calibri"/>
      <family val="2"/>
      <scheme val="minor"/>
    </font>
    <font>
      <sz val="11"/>
      <color rgb="FF000000"/>
      <name val="Aptos Narrow"/>
      <family val="2"/>
    </font>
    <font>
      <b/>
      <sz val="18"/>
      <color theme="1"/>
      <name val="Aptos Narrow"/>
      <family val="2"/>
    </font>
    <font>
      <b/>
      <sz val="18"/>
      <color rgb="FF00B050"/>
      <name val="Aptos Narrow"/>
      <family val="2"/>
    </font>
    <font>
      <b/>
      <sz val="36"/>
      <color rgb="FF00B050"/>
      <name val="Aptos Narrow"/>
      <family val="2"/>
    </font>
    <font>
      <b/>
      <sz val="18"/>
      <color rgb="FF00B0F0"/>
      <name val="Aptos Narrow"/>
      <family val="2"/>
    </font>
    <font>
      <b/>
      <sz val="36"/>
      <color rgb="FF00B0F0"/>
      <name val="Aptos Narrow"/>
      <family val="2"/>
    </font>
    <font>
      <b/>
      <sz val="18"/>
      <color theme="0" tint="-0.499984740745262"/>
      <name val="Aptos Narrow"/>
      <family val="2"/>
    </font>
    <font>
      <b/>
      <sz val="14"/>
      <color theme="1"/>
      <name val="Calibri"/>
      <family val="2"/>
      <scheme val="minor"/>
    </font>
    <font>
      <b/>
      <sz val="16"/>
      <color theme="1"/>
      <name val="Calibri"/>
      <family val="2"/>
      <scheme val="minor"/>
    </font>
    <font>
      <b/>
      <sz val="18"/>
      <color rgb="FFC00000"/>
      <name val="Aptos Narrow"/>
      <family val="2"/>
    </font>
    <font>
      <sz val="8"/>
      <name val="Calibri"/>
      <family val="2"/>
      <scheme val="minor"/>
    </font>
    <font>
      <b/>
      <sz val="18"/>
      <color theme="1"/>
      <name val="Calibri"/>
      <family val="2"/>
      <scheme val="minor"/>
    </font>
    <font>
      <sz val="18"/>
      <color rgb="FF00B050"/>
      <name val="Calibri"/>
      <family val="2"/>
      <scheme val="minor"/>
    </font>
    <font>
      <b/>
      <sz val="20"/>
      <color theme="1"/>
      <name val="Aptos Narrow"/>
      <family val="2"/>
    </font>
    <font>
      <b/>
      <sz val="24"/>
      <color theme="1"/>
      <name val="Aptos Narrow"/>
      <family val="2"/>
    </font>
  </fonts>
  <fills count="6">
    <fill>
      <patternFill patternType="none"/>
    </fill>
    <fill>
      <patternFill patternType="gray125"/>
    </fill>
    <fill>
      <patternFill patternType="solid">
        <fgColor rgb="FF7DC8FF"/>
        <bgColor indexed="64"/>
      </patternFill>
    </fill>
    <fill>
      <patternFill patternType="solid">
        <fgColor theme="0" tint="-0.14999847407452621"/>
        <bgColor indexed="64"/>
      </patternFill>
    </fill>
    <fill>
      <patternFill patternType="solid">
        <fgColor rgb="FFFFCCCC"/>
        <bgColor indexed="64"/>
      </patternFill>
    </fill>
    <fill>
      <patternFill patternType="solid">
        <fgColor theme="9" tint="0.79998168889431442"/>
        <bgColor indexed="64"/>
      </patternFill>
    </fill>
  </fills>
  <borders count="28">
    <border>
      <left/>
      <right/>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medium">
        <color theme="1"/>
      </left>
      <right/>
      <top/>
      <bottom/>
      <diagonal/>
    </border>
    <border>
      <left/>
      <right style="medium">
        <color theme="1"/>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4" fillId="0" borderId="0" applyFont="0" applyFill="0" applyBorder="0" applyAlignment="0" applyProtection="0"/>
  </cellStyleXfs>
  <cellXfs count="134">
    <xf numFmtId="0" fontId="0" fillId="0" borderId="0" xfId="0"/>
    <xf numFmtId="49" fontId="2" fillId="0" borderId="0" xfId="0" applyNumberFormat="1" applyFont="1" applyAlignment="1">
      <alignment wrapText="1"/>
    </xf>
    <xf numFmtId="49" fontId="3" fillId="2" borderId="0" xfId="0" applyNumberFormat="1" applyFont="1" applyFill="1" applyAlignment="1">
      <alignment horizontal="center" vertical="center" wrapText="1"/>
    </xf>
    <xf numFmtId="49" fontId="2" fillId="0" borderId="0" xfId="0" applyNumberFormat="1" applyFont="1"/>
    <xf numFmtId="1" fontId="2" fillId="0" borderId="0" xfId="0" applyNumberFormat="1" applyFont="1" applyAlignment="1">
      <alignment horizontal="center" vertical="center" wrapText="1"/>
    </xf>
    <xf numFmtId="164" fontId="2" fillId="0" borderId="0" xfId="0" applyNumberFormat="1" applyFont="1" applyAlignment="1">
      <alignment vertical="center" wrapText="1"/>
    </xf>
    <xf numFmtId="164" fontId="6" fillId="0" borderId="0" xfId="0" applyNumberFormat="1" applyFont="1"/>
    <xf numFmtId="1" fontId="6" fillId="0" borderId="0" xfId="0" applyNumberFormat="1" applyFont="1"/>
    <xf numFmtId="164" fontId="5" fillId="0" borderId="0" xfId="0" applyNumberFormat="1" applyFont="1"/>
    <xf numFmtId="49" fontId="0" fillId="0" borderId="0" xfId="0" applyNumberFormat="1"/>
    <xf numFmtId="49" fontId="0" fillId="0" borderId="0" xfId="0" applyNumberFormat="1" applyAlignment="1">
      <alignment wrapText="1"/>
    </xf>
    <xf numFmtId="2" fontId="0" fillId="0" borderId="0" xfId="0" applyNumberFormat="1" applyAlignment="1">
      <alignment horizontal="center" vertical="center"/>
    </xf>
    <xf numFmtId="49" fontId="0" fillId="0" borderId="0" xfId="0" applyNumberFormat="1" applyAlignment="1">
      <alignment vertical="center"/>
    </xf>
    <xf numFmtId="164" fontId="5" fillId="0" borderId="0" xfId="0" applyNumberFormat="1" applyFont="1" applyAlignment="1">
      <alignment vertical="center" wrapText="1"/>
    </xf>
    <xf numFmtId="49" fontId="3" fillId="2" borderId="1" xfId="0" applyNumberFormat="1" applyFont="1" applyFill="1" applyBorder="1" applyAlignment="1">
      <alignment horizontal="center" vertical="center" wrapText="1"/>
    </xf>
    <xf numFmtId="164" fontId="2" fillId="0" borderId="1" xfId="0" applyNumberFormat="1" applyFont="1" applyBorder="1" applyAlignment="1">
      <alignment vertical="center" wrapText="1"/>
    </xf>
    <xf numFmtId="164" fontId="5" fillId="0" borderId="1" xfId="0" applyNumberFormat="1" applyFont="1" applyBorder="1" applyAlignment="1">
      <alignment vertical="center" wrapText="1"/>
    </xf>
    <xf numFmtId="49" fontId="11" fillId="3" borderId="0" xfId="0" applyNumberFormat="1" applyFont="1" applyFill="1" applyAlignment="1">
      <alignment horizontal="center" vertical="center"/>
    </xf>
    <xf numFmtId="164" fontId="5" fillId="0" borderId="0" xfId="0" applyNumberFormat="1" applyFont="1" applyAlignment="1">
      <alignment wrapText="1"/>
    </xf>
    <xf numFmtId="1" fontId="10" fillId="4" borderId="0" xfId="0" applyNumberFormat="1" applyFont="1" applyFill="1" applyAlignment="1">
      <alignment horizontal="center" vertical="center"/>
    </xf>
    <xf numFmtId="9" fontId="10" fillId="4" borderId="0" xfId="1" applyFont="1" applyFill="1" applyAlignment="1">
      <alignment horizontal="center" vertical="center"/>
    </xf>
    <xf numFmtId="164" fontId="9" fillId="4" borderId="0" xfId="0" applyNumberFormat="1" applyFont="1" applyFill="1"/>
    <xf numFmtId="164" fontId="7" fillId="5" borderId="0" xfId="0" applyNumberFormat="1" applyFont="1" applyFill="1"/>
    <xf numFmtId="1" fontId="8" fillId="5" borderId="0" xfId="0" applyNumberFormat="1" applyFont="1" applyFill="1" applyAlignment="1">
      <alignment horizontal="center" vertical="center"/>
    </xf>
    <xf numFmtId="9" fontId="8" fillId="5" borderId="0" xfId="1" applyFont="1" applyFill="1" applyAlignment="1">
      <alignment horizontal="center" vertical="center"/>
    </xf>
    <xf numFmtId="164" fontId="5" fillId="0" borderId="1" xfId="0" applyNumberFormat="1" applyFont="1" applyBorder="1"/>
    <xf numFmtId="164" fontId="6" fillId="0" borderId="1" xfId="0" applyNumberFormat="1" applyFont="1" applyBorder="1"/>
    <xf numFmtId="164" fontId="7" fillId="5" borderId="1" xfId="0" applyNumberFormat="1" applyFont="1" applyFill="1" applyBorder="1"/>
    <xf numFmtId="1" fontId="6" fillId="0" borderId="1" xfId="0" applyNumberFormat="1" applyFont="1" applyBorder="1"/>
    <xf numFmtId="1" fontId="8" fillId="5" borderId="1" xfId="0" applyNumberFormat="1" applyFont="1" applyFill="1" applyBorder="1" applyAlignment="1">
      <alignment horizontal="center" vertical="center"/>
    </xf>
    <xf numFmtId="9" fontId="8" fillId="5" borderId="1" xfId="1" applyFont="1" applyFill="1" applyBorder="1" applyAlignment="1">
      <alignment horizontal="center" vertical="center"/>
    </xf>
    <xf numFmtId="9" fontId="8" fillId="5" borderId="0" xfId="1" applyFont="1" applyFill="1" applyBorder="1" applyAlignment="1">
      <alignment horizontal="center" vertical="center"/>
    </xf>
    <xf numFmtId="164" fontId="9" fillId="5" borderId="0" xfId="0" applyNumberFormat="1" applyFont="1" applyFill="1"/>
    <xf numFmtId="1" fontId="10" fillId="5" borderId="0" xfId="0" applyNumberFormat="1" applyFont="1" applyFill="1" applyAlignment="1">
      <alignment horizontal="center" vertical="center"/>
    </xf>
    <xf numFmtId="9" fontId="10" fillId="5" borderId="0" xfId="1" applyFont="1" applyFill="1" applyAlignment="1">
      <alignment horizontal="center" vertical="center"/>
    </xf>
    <xf numFmtId="1" fontId="11" fillId="0" borderId="0" xfId="0" applyNumberFormat="1" applyFont="1"/>
    <xf numFmtId="49" fontId="0" fillId="0" borderId="0" xfId="0" applyNumberFormat="1" applyAlignment="1">
      <alignment horizontal="center" vertical="center"/>
    </xf>
    <xf numFmtId="49" fontId="2" fillId="0" borderId="3" xfId="0" applyNumberFormat="1" applyFont="1" applyBorder="1" applyAlignment="1">
      <alignment wrapText="1"/>
    </xf>
    <xf numFmtId="49" fontId="2" fillId="0" borderId="2" xfId="0" applyNumberFormat="1" applyFont="1" applyBorder="1" applyAlignment="1">
      <alignment wrapText="1"/>
    </xf>
    <xf numFmtId="49" fontId="2" fillId="0" borderId="6" xfId="0" applyNumberFormat="1" applyFont="1" applyBorder="1" applyAlignment="1">
      <alignment wrapText="1"/>
    </xf>
    <xf numFmtId="165" fontId="7" fillId="5" borderId="7" xfId="1" applyNumberFormat="1" applyFont="1" applyFill="1" applyBorder="1"/>
    <xf numFmtId="165" fontId="7" fillId="5" borderId="8" xfId="1" applyNumberFormat="1" applyFont="1" applyFill="1" applyBorder="1"/>
    <xf numFmtId="164" fontId="0" fillId="0" borderId="0" xfId="0" applyNumberFormat="1"/>
    <xf numFmtId="164" fontId="12" fillId="0" borderId="0" xfId="0" applyNumberFormat="1" applyFont="1"/>
    <xf numFmtId="165" fontId="12" fillId="0" borderId="0" xfId="1" applyNumberFormat="1" applyFont="1"/>
    <xf numFmtId="164" fontId="13" fillId="0" borderId="0" xfId="0" applyNumberFormat="1" applyFont="1"/>
    <xf numFmtId="49" fontId="2" fillId="0" borderId="11" xfId="0" applyNumberFormat="1" applyFont="1" applyBorder="1" applyAlignment="1">
      <alignment wrapText="1"/>
    </xf>
    <xf numFmtId="164" fontId="7" fillId="5" borderId="12" xfId="0" applyNumberFormat="1" applyFont="1" applyFill="1" applyBorder="1"/>
    <xf numFmtId="165" fontId="7" fillId="5" borderId="12" xfId="1" applyNumberFormat="1" applyFont="1" applyFill="1" applyBorder="1"/>
    <xf numFmtId="49" fontId="2" fillId="0" borderId="13" xfId="0" applyNumberFormat="1" applyFont="1" applyBorder="1" applyAlignment="1">
      <alignment wrapText="1"/>
    </xf>
    <xf numFmtId="165" fontId="7" fillId="5" borderId="14" xfId="1" applyNumberFormat="1" applyFont="1" applyFill="1" applyBorder="1"/>
    <xf numFmtId="49" fontId="2" fillId="0" borderId="16" xfId="0" applyNumberFormat="1" applyFont="1" applyBorder="1" applyAlignment="1">
      <alignment wrapText="1"/>
    </xf>
    <xf numFmtId="49" fontId="2" fillId="0" borderId="9" xfId="0" applyNumberFormat="1" applyFont="1" applyBorder="1" applyAlignment="1">
      <alignment wrapText="1"/>
    </xf>
    <xf numFmtId="164" fontId="6" fillId="0" borderId="12" xfId="0" applyNumberFormat="1" applyFont="1" applyBorder="1"/>
    <xf numFmtId="165" fontId="7" fillId="5" borderId="16" xfId="1" applyNumberFormat="1" applyFont="1" applyFill="1" applyBorder="1"/>
    <xf numFmtId="165" fontId="14" fillId="4" borderId="14" xfId="1" applyNumberFormat="1" applyFont="1" applyFill="1" applyBorder="1" applyAlignment="1">
      <alignment vertical="center"/>
    </xf>
    <xf numFmtId="166" fontId="2" fillId="0" borderId="0" xfId="0" applyNumberFormat="1" applyFont="1" applyAlignment="1">
      <alignment vertical="center" wrapText="1"/>
    </xf>
    <xf numFmtId="166" fontId="5" fillId="0" borderId="0" xfId="0" applyNumberFormat="1" applyFont="1"/>
    <xf numFmtId="166" fontId="5" fillId="0" borderId="0" xfId="0" applyNumberFormat="1" applyFont="1" applyAlignment="1">
      <alignment vertical="center" wrapText="1"/>
    </xf>
    <xf numFmtId="166" fontId="6" fillId="0" borderId="0" xfId="0" applyNumberFormat="1" applyFont="1"/>
    <xf numFmtId="166" fontId="5" fillId="0" borderId="1" xfId="0" applyNumberFormat="1" applyFont="1" applyBorder="1" applyAlignment="1">
      <alignment vertical="center" wrapText="1"/>
    </xf>
    <xf numFmtId="166" fontId="6" fillId="0" borderId="2" xfId="0" applyNumberFormat="1" applyFont="1" applyBorder="1"/>
    <xf numFmtId="166" fontId="6" fillId="0" borderId="1" xfId="0" applyNumberFormat="1" applyFont="1" applyBorder="1"/>
    <xf numFmtId="49" fontId="2" fillId="0" borderId="1" xfId="0" applyNumberFormat="1" applyFont="1" applyBorder="1"/>
    <xf numFmtId="1" fontId="2" fillId="0" borderId="1" xfId="0" applyNumberFormat="1" applyFont="1" applyBorder="1" applyAlignment="1">
      <alignment horizontal="center" vertical="center" wrapText="1"/>
    </xf>
    <xf numFmtId="167" fontId="6" fillId="0" borderId="0" xfId="0" applyNumberFormat="1" applyFont="1"/>
    <xf numFmtId="168" fontId="7" fillId="5" borderId="0" xfId="0" applyNumberFormat="1" applyFont="1" applyFill="1" applyAlignment="1">
      <alignment horizontal="center"/>
    </xf>
    <xf numFmtId="2" fontId="7" fillId="5" borderId="0" xfId="0" applyNumberFormat="1" applyFont="1" applyFill="1" applyAlignment="1">
      <alignment horizontal="center"/>
    </xf>
    <xf numFmtId="167" fontId="6" fillId="0" borderId="18" xfId="0" applyNumberFormat="1" applyFont="1" applyBorder="1"/>
    <xf numFmtId="167" fontId="6" fillId="0" borderId="23" xfId="0" applyNumberFormat="1" applyFont="1" applyBorder="1"/>
    <xf numFmtId="168" fontId="7" fillId="5" borderId="23" xfId="0" applyNumberFormat="1" applyFont="1" applyFill="1" applyBorder="1" applyAlignment="1">
      <alignment horizontal="center"/>
    </xf>
    <xf numFmtId="2" fontId="7" fillId="5" borderId="23" xfId="0" applyNumberFormat="1" applyFont="1" applyFill="1" applyBorder="1" applyAlignment="1">
      <alignment horizontal="center"/>
    </xf>
    <xf numFmtId="166" fontId="6" fillId="0" borderId="25" xfId="0" applyNumberFormat="1" applyFont="1" applyBorder="1"/>
    <xf numFmtId="49" fontId="3" fillId="2" borderId="26" xfId="0" applyNumberFormat="1" applyFont="1" applyFill="1" applyBorder="1" applyAlignment="1">
      <alignment horizontal="center" vertical="center" wrapText="1"/>
    </xf>
    <xf numFmtId="166" fontId="5" fillId="0" borderId="26" xfId="0" applyNumberFormat="1" applyFont="1" applyBorder="1" applyAlignment="1">
      <alignment vertical="center" wrapText="1"/>
    </xf>
    <xf numFmtId="166" fontId="6" fillId="0" borderId="26" xfId="0" applyNumberFormat="1" applyFont="1" applyBorder="1"/>
    <xf numFmtId="49" fontId="2" fillId="0" borderId="26" xfId="0" applyNumberFormat="1" applyFont="1" applyBorder="1" applyAlignment="1">
      <alignment wrapText="1"/>
    </xf>
    <xf numFmtId="168" fontId="7" fillId="5" borderId="0" xfId="0" applyNumberFormat="1" applyFont="1" applyFill="1" applyAlignment="1">
      <alignment horizontal="center" vertical="center"/>
    </xf>
    <xf numFmtId="1" fontId="5" fillId="0" borderId="0" xfId="0" applyNumberFormat="1" applyFont="1" applyAlignment="1">
      <alignment vertical="center" wrapText="1"/>
    </xf>
    <xf numFmtId="1" fontId="6" fillId="0" borderId="25" xfId="0" applyNumberFormat="1" applyFont="1" applyBorder="1"/>
    <xf numFmtId="165" fontId="14" fillId="4" borderId="0" xfId="1" applyNumberFormat="1" applyFont="1" applyFill="1" applyBorder="1"/>
    <xf numFmtId="49" fontId="2" fillId="0" borderId="27" xfId="0" applyNumberFormat="1" applyFont="1" applyBorder="1" applyAlignment="1">
      <alignment wrapText="1"/>
    </xf>
    <xf numFmtId="1" fontId="6" fillId="0" borderId="2" xfId="0" applyNumberFormat="1" applyFont="1" applyBorder="1"/>
    <xf numFmtId="165" fontId="6" fillId="0" borderId="25" xfId="0" applyNumberFormat="1" applyFont="1" applyBorder="1"/>
    <xf numFmtId="165" fontId="6" fillId="0" borderId="0" xfId="0" applyNumberFormat="1" applyFont="1"/>
    <xf numFmtId="165" fontId="19" fillId="0" borderId="0" xfId="0" applyNumberFormat="1" applyFont="1"/>
    <xf numFmtId="10" fontId="6" fillId="0" borderId="25" xfId="0" applyNumberFormat="1" applyFont="1" applyBorder="1"/>
    <xf numFmtId="10" fontId="6" fillId="0" borderId="0" xfId="0" applyNumberFormat="1" applyFont="1"/>
    <xf numFmtId="10" fontId="19" fillId="0" borderId="0" xfId="0" applyNumberFormat="1" applyFont="1"/>
    <xf numFmtId="49" fontId="2" fillId="0" borderId="1" xfId="0" applyNumberFormat="1" applyFont="1" applyBorder="1" applyAlignment="1">
      <alignment horizontal="left" vertical="center" wrapText="1"/>
    </xf>
    <xf numFmtId="10" fontId="0" fillId="0" borderId="0" xfId="0" applyNumberFormat="1"/>
    <xf numFmtId="166" fontId="0" fillId="0" borderId="0" xfId="0" applyNumberFormat="1"/>
    <xf numFmtId="49" fontId="2" fillId="0" borderId="0" xfId="0" applyNumberFormat="1" applyFont="1" applyAlignment="1">
      <alignment horizontal="left" vertical="center" wrapText="1"/>
    </xf>
    <xf numFmtId="10" fontId="2" fillId="0" borderId="0" xfId="0" applyNumberFormat="1" applyFont="1" applyAlignment="1">
      <alignment wrapText="1"/>
    </xf>
    <xf numFmtId="166" fontId="2" fillId="0" borderId="0" xfId="0" applyNumberFormat="1" applyFont="1" applyAlignment="1">
      <alignment wrapText="1"/>
    </xf>
    <xf numFmtId="10" fontId="2" fillId="0" borderId="2" xfId="0" applyNumberFormat="1" applyFont="1" applyBorder="1" applyAlignment="1">
      <alignment wrapText="1"/>
    </xf>
    <xf numFmtId="10" fontId="0" fillId="0" borderId="2" xfId="0" applyNumberFormat="1" applyBorder="1"/>
    <xf numFmtId="49" fontId="2" fillId="0" borderId="8" xfId="0" applyNumberFormat="1" applyFont="1" applyBorder="1" applyAlignment="1">
      <alignment horizontal="left" vertical="center" wrapText="1"/>
    </xf>
    <xf numFmtId="10" fontId="0" fillId="0" borderId="7" xfId="0" applyNumberFormat="1" applyBorder="1"/>
    <xf numFmtId="166" fontId="0" fillId="0" borderId="7" xfId="0" applyNumberFormat="1" applyBorder="1"/>
    <xf numFmtId="10" fontId="8" fillId="5" borderId="0" xfId="1" applyNumberFormat="1" applyFont="1" applyFill="1" applyAlignment="1">
      <alignment horizontal="center" vertical="center"/>
    </xf>
    <xf numFmtId="10" fontId="8" fillId="5" borderId="0" xfId="1" applyNumberFormat="1" applyFont="1" applyFill="1" applyBorder="1" applyAlignment="1">
      <alignment horizontal="center" vertical="center"/>
    </xf>
    <xf numFmtId="49" fontId="6" fillId="0" borderId="0" xfId="0" applyNumberFormat="1" applyFont="1" applyAlignment="1">
      <alignment horizontal="right" vertical="center" wrapText="1"/>
    </xf>
    <xf numFmtId="49" fontId="6" fillId="0" borderId="0" xfId="0" applyNumberFormat="1" applyFont="1" applyAlignment="1">
      <alignment horizontal="right" vertical="center"/>
    </xf>
    <xf numFmtId="49" fontId="6" fillId="0" borderId="2" xfId="0" applyNumberFormat="1" applyFont="1" applyBorder="1" applyAlignment="1">
      <alignment horizontal="center" wrapText="1"/>
    </xf>
    <xf numFmtId="49" fontId="6" fillId="0" borderId="0" xfId="0" applyNumberFormat="1" applyFont="1" applyAlignment="1">
      <alignment horizontal="center" wrapText="1"/>
    </xf>
    <xf numFmtId="49" fontId="6" fillId="0" borderId="1" xfId="0" applyNumberFormat="1" applyFont="1" applyBorder="1" applyAlignment="1">
      <alignment horizontal="center" wrapText="1"/>
    </xf>
    <xf numFmtId="49" fontId="6" fillId="0" borderId="26" xfId="0" applyNumberFormat="1" applyFont="1" applyBorder="1" applyAlignment="1">
      <alignment horizontal="center" wrapText="1"/>
    </xf>
    <xf numFmtId="49" fontId="1" fillId="2" borderId="0" xfId="0" applyNumberFormat="1" applyFont="1" applyFill="1" applyAlignment="1">
      <alignment horizontal="left" vertical="center" wrapText="1"/>
    </xf>
    <xf numFmtId="49" fontId="2" fillId="0" borderId="0" xfId="0" applyNumberFormat="1" applyFont="1" applyAlignment="1">
      <alignment horizontal="left" vertical="top" wrapText="1"/>
    </xf>
    <xf numFmtId="49" fontId="2" fillId="0" borderId="3" xfId="0" applyNumberFormat="1" applyFont="1" applyBorder="1" applyAlignment="1">
      <alignment horizontal="center" wrapText="1"/>
    </xf>
    <xf numFmtId="49" fontId="2" fillId="0" borderId="5" xfId="0" applyNumberFormat="1" applyFont="1" applyBorder="1" applyAlignment="1">
      <alignment horizontal="center" wrapText="1"/>
    </xf>
    <xf numFmtId="49" fontId="2" fillId="0" borderId="2" xfId="0" applyNumberFormat="1" applyFont="1" applyBorder="1" applyAlignment="1">
      <alignment horizontal="center" wrapText="1"/>
    </xf>
    <xf numFmtId="49" fontId="2" fillId="0" borderId="0" xfId="0" applyNumberFormat="1" applyFont="1" applyAlignment="1">
      <alignment horizontal="center" wrapText="1"/>
    </xf>
    <xf numFmtId="49" fontId="2" fillId="0" borderId="4" xfId="0" applyNumberFormat="1" applyFont="1" applyBorder="1" applyAlignment="1">
      <alignment wrapText="1"/>
    </xf>
    <xf numFmtId="49" fontId="2" fillId="0" borderId="5" xfId="0" applyNumberFormat="1" applyFont="1" applyBorder="1" applyAlignment="1">
      <alignment wrapText="1"/>
    </xf>
    <xf numFmtId="49" fontId="2" fillId="0" borderId="9" xfId="0" applyNumberFormat="1" applyFont="1" applyBorder="1" applyAlignment="1">
      <alignment horizontal="center" wrapText="1"/>
    </xf>
    <xf numFmtId="49" fontId="2" fillId="0" borderId="10" xfId="0" applyNumberFormat="1" applyFont="1" applyBorder="1" applyAlignment="1">
      <alignment horizontal="center" wrapText="1"/>
    </xf>
    <xf numFmtId="49" fontId="2" fillId="0" borderId="15" xfId="0" applyNumberFormat="1" applyFont="1" applyBorder="1" applyAlignment="1">
      <alignment wrapText="1"/>
    </xf>
    <xf numFmtId="49" fontId="2" fillId="0" borderId="10" xfId="0" applyNumberFormat="1" applyFont="1" applyBorder="1" applyAlignment="1">
      <alignment wrapText="1"/>
    </xf>
    <xf numFmtId="49" fontId="2" fillId="0" borderId="15" xfId="0" applyNumberFormat="1" applyFont="1" applyBorder="1" applyAlignment="1">
      <alignment horizontal="center" wrapText="1"/>
    </xf>
    <xf numFmtId="49" fontId="6" fillId="0" borderId="20" xfId="0" applyNumberFormat="1" applyFont="1" applyBorder="1" applyAlignment="1">
      <alignment horizontal="right" vertical="center"/>
    </xf>
    <xf numFmtId="49" fontId="6" fillId="0" borderId="22" xfId="0" applyNumberFormat="1" applyFont="1" applyBorder="1" applyAlignment="1">
      <alignment horizontal="right" vertical="center"/>
    </xf>
    <xf numFmtId="49" fontId="6" fillId="0" borderId="23" xfId="0" applyNumberFormat="1" applyFont="1" applyBorder="1" applyAlignment="1">
      <alignment horizontal="right" vertical="center"/>
    </xf>
    <xf numFmtId="49" fontId="17" fillId="5" borderId="21" xfId="0" applyNumberFormat="1" applyFont="1" applyFill="1" applyBorder="1" applyAlignment="1">
      <alignment horizontal="center" vertical="center" wrapText="1"/>
    </xf>
    <xf numFmtId="49" fontId="17" fillId="5" borderId="24" xfId="0" applyNumberFormat="1" applyFont="1" applyFill="1" applyBorder="1" applyAlignment="1">
      <alignment horizontal="center" vertical="center" wrapText="1"/>
    </xf>
    <xf numFmtId="49" fontId="11" fillId="3" borderId="18" xfId="0" applyNumberFormat="1" applyFont="1" applyFill="1" applyBorder="1" applyAlignment="1">
      <alignment horizontal="center" vertical="center"/>
    </xf>
    <xf numFmtId="49" fontId="11" fillId="3" borderId="19" xfId="0" applyNumberFormat="1" applyFont="1" applyFill="1" applyBorder="1" applyAlignment="1">
      <alignment horizontal="center" vertical="center"/>
    </xf>
    <xf numFmtId="49" fontId="6" fillId="0" borderId="17" xfId="0" applyNumberFormat="1" applyFont="1" applyBorder="1" applyAlignment="1">
      <alignment horizontal="right" vertical="center"/>
    </xf>
    <xf numFmtId="49" fontId="6" fillId="0" borderId="18" xfId="0" applyNumberFormat="1" applyFont="1" applyBorder="1" applyAlignment="1">
      <alignment horizontal="right" vertical="center"/>
    </xf>
    <xf numFmtId="49" fontId="6" fillId="0" borderId="0" xfId="0" applyNumberFormat="1" applyFont="1" applyAlignment="1">
      <alignment horizontal="center"/>
    </xf>
    <xf numFmtId="49" fontId="6" fillId="0" borderId="1" xfId="0" applyNumberFormat="1" applyFont="1" applyBorder="1" applyAlignment="1">
      <alignment horizontal="center"/>
    </xf>
    <xf numFmtId="0" fontId="16" fillId="0" borderId="0" xfId="0" applyFont="1" applyAlignment="1">
      <alignment horizontal="center"/>
    </xf>
    <xf numFmtId="49" fontId="6" fillId="0" borderId="1" xfId="0" applyNumberFormat="1" applyFont="1" applyBorder="1" applyAlignment="1">
      <alignment horizontal="right" vertical="center"/>
    </xf>
  </cellXfs>
  <cellStyles count="2">
    <cellStyle name="Normal" xfId="0" builtinId="0"/>
    <cellStyle name="Percent" xfId="1" builtinId="5"/>
  </cellStyles>
  <dxfs count="362">
    <dxf>
      <numFmt numFmtId="164" formatCode="0.000000"/>
    </dxf>
    <dxf>
      <font>
        <strike val="0"/>
        <outline val="0"/>
        <shadow val="0"/>
        <u val="none"/>
        <vertAlign val="baseline"/>
        <color theme="1"/>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numFmt numFmtId="166" formatCode="0.0"/>
    </dxf>
    <dxf>
      <numFmt numFmtId="14" formatCode="0.00%"/>
    </dxf>
    <dxf>
      <numFmt numFmtId="14" formatCode="0.00%"/>
    </dxf>
    <dxf>
      <numFmt numFmtId="14" formatCode="0.00%"/>
    </dxf>
    <dxf>
      <font>
        <strike val="0"/>
        <outline val="0"/>
        <shadow val="0"/>
        <u val="none"/>
        <vertAlign val="baseline"/>
        <color theme="1"/>
        <name val="Aptos Narrow"/>
        <family val="2"/>
        <scheme val="none"/>
      </font>
      <numFmt numFmtId="30" formatCode="@"/>
      <alignment horizontal="left"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 formatCode="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border diagonalUp="0" diagonalDown="0">
        <left/>
        <right style="medium">
          <color indexed="64"/>
        </right>
        <top/>
        <bottom/>
        <vertical/>
        <horizontal/>
      </border>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border diagonalUp="0" diagonalDown="0">
        <left/>
        <right style="medium">
          <color indexed="64"/>
        </right>
        <top/>
        <bottom/>
        <vertical/>
        <horizontal/>
      </border>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border diagonalUp="0" diagonalDown="0">
        <left/>
        <right style="medium">
          <color indexed="64"/>
        </right>
        <top/>
        <bottom/>
        <vertical/>
        <horizontal/>
      </border>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border diagonalUp="0" diagonalDown="0">
        <left/>
        <right style="medium">
          <color indexed="64"/>
        </right>
        <top/>
        <bottom/>
        <vertical/>
        <horizontal/>
      </border>
    </dxf>
    <dxf>
      <numFmt numFmtId="166" formatCode="0.0"/>
    </dxf>
    <dxf>
      <font>
        <strike val="0"/>
        <outline val="0"/>
        <shadow val="0"/>
        <u val="none"/>
        <vertAlign val="baseline"/>
        <color theme="1"/>
        <name val="Aptos Narrow"/>
        <family val="2"/>
        <scheme val="none"/>
      </font>
      <numFmt numFmtId="166" formatCode="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border diagonalUp="0" diagonalDown="0">
        <left/>
        <right style="medium">
          <color indexed="64"/>
        </right>
        <top/>
        <bottom/>
        <vertical/>
        <horizontal/>
      </border>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4" formatCode="0.000000"/>
      <alignment horizontal="general" vertical="center" textRotation="0" wrapText="1" indent="0" justifyLastLine="0" shrinkToFit="0" readingOrder="0"/>
    </dxf>
    <dxf>
      <numFmt numFmtId="164" formatCode="0.000000"/>
    </dxf>
    <dxf>
      <font>
        <strike val="0"/>
        <outline val="0"/>
        <shadow val="0"/>
        <u val="none"/>
        <vertAlign val="baseline"/>
        <color theme="1"/>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4" formatCode="0.000000"/>
      <alignment horizontal="general" vertical="center" textRotation="0" wrapText="1" indent="0" justifyLastLine="0" shrinkToFit="0" readingOrder="0"/>
    </dxf>
    <dxf>
      <numFmt numFmtId="164" formatCode="0.000000"/>
    </dxf>
    <dxf>
      <font>
        <strike val="0"/>
        <outline val="0"/>
        <shadow val="0"/>
        <u val="none"/>
        <vertAlign val="baseline"/>
        <color theme="1"/>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numFmt numFmtId="164" formatCode="0.000000"/>
    </dxf>
    <dxf>
      <font>
        <strike val="0"/>
        <outline val="0"/>
        <shadow val="0"/>
        <u val="none"/>
        <vertAlign val="baseline"/>
        <color theme="1"/>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numFmt numFmtId="164" formatCode="0.000000"/>
    </dxf>
    <dxf>
      <font>
        <strike val="0"/>
        <outline val="0"/>
        <shadow val="0"/>
        <u val="none"/>
        <vertAlign val="baseline"/>
        <color theme="1"/>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numFmt numFmtId="164" formatCode="0.000000"/>
    </dxf>
    <dxf>
      <font>
        <strike val="0"/>
        <outline val="0"/>
        <shadow val="0"/>
        <u val="none"/>
        <vertAlign val="baseline"/>
        <color theme="1"/>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4" formatCode="0.000000"/>
      <alignment horizontal="general" vertical="bottom" textRotation="0" wrapText="1" indent="0" justifyLastLine="0" shrinkToFit="0" readingOrder="0"/>
    </dxf>
    <dxf>
      <font>
        <strike val="0"/>
        <outline val="0"/>
        <shadow val="0"/>
        <u val="none"/>
        <vertAlign val="baseline"/>
        <color rgb="FF000000"/>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4" formatCode="0.000000"/>
      <alignment horizontal="general" vertical="center" textRotation="0" wrapText="1" indent="0" justifyLastLine="0" shrinkToFit="0" readingOrder="0"/>
      <border diagonalUp="0" diagonalDown="0">
        <left/>
        <right style="medium">
          <color indexed="64"/>
        </right>
        <top/>
        <bottom/>
        <vertical/>
        <horizontal/>
      </border>
    </dxf>
    <dxf>
      <font>
        <strike val="0"/>
        <outline val="0"/>
        <shadow val="0"/>
        <u val="none"/>
        <vertAlign val="baseline"/>
        <color rgb="FF000000"/>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4" formatCode="0.000000"/>
      <alignment horizontal="general" vertical="center" textRotation="0" wrapText="1" indent="0" justifyLastLine="0" shrinkToFit="0" readingOrder="0"/>
    </dxf>
    <dxf>
      <numFmt numFmtId="164" formatCode="0.000000"/>
      <border diagonalUp="0" diagonalDown="0">
        <left/>
        <right style="medium">
          <color indexed="64"/>
        </right>
        <top/>
        <bottom/>
        <vertical/>
        <horizontal/>
      </border>
    </dxf>
    <dxf>
      <font>
        <strike val="0"/>
        <outline val="0"/>
        <shadow val="0"/>
        <u val="none"/>
        <vertAlign val="baseline"/>
        <color theme="1"/>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4" formatCode="0.000000"/>
      <alignment horizontal="general" vertical="center" textRotation="0" wrapText="1" indent="0" justifyLastLine="0" shrinkToFit="0" readingOrder="0"/>
      <border diagonalUp="0" diagonalDown="0">
        <left/>
        <right style="medium">
          <color indexed="64"/>
        </right>
        <top/>
        <bottom/>
        <vertical/>
        <horizontal/>
      </border>
    </dxf>
    <dxf>
      <font>
        <strike val="0"/>
        <outline val="0"/>
        <shadow val="0"/>
        <u val="none"/>
        <vertAlign val="baseline"/>
        <color rgb="FF000000"/>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64" formatCode="0.0000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border diagonalUp="0" diagonalDown="0">
        <left/>
        <right style="medium">
          <color theme="1"/>
        </right>
        <top/>
        <bottom/>
        <vertical/>
        <horizontal/>
      </border>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border diagonalUp="0" diagonalDown="0">
        <right style="medium">
          <color theme="1"/>
        </right>
        <top/>
        <bottom/>
        <vertical/>
        <horizontal/>
      </border>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border diagonalUp="0" diagonalDown="0">
        <left/>
        <right style="medium">
          <color indexed="64"/>
        </right>
        <top/>
        <bottom/>
        <vertical/>
        <horizontal/>
      </border>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dxf>
    <dxf>
      <font>
        <strike val="0"/>
        <outline val="0"/>
        <shadow val="0"/>
        <u val="none"/>
        <vertAlign val="baseline"/>
        <color rgb="FF000000"/>
        <name val="Aptos Narrow"/>
        <family val="2"/>
        <scheme val="none"/>
      </font>
      <numFmt numFmtId="166" formatCode="0.0"/>
      <alignment horizontal="general" vertical="center" textRotation="0" wrapText="1" indent="0" justifyLastLine="0" shrinkToFit="0" readingOrder="0"/>
    </dxf>
    <dxf>
      <font>
        <strike val="0"/>
        <outline val="0"/>
        <shadow val="0"/>
        <u val="none"/>
        <vertAlign val="baseline"/>
        <color theme="1"/>
        <name val="Aptos Narrow"/>
        <family val="2"/>
        <scheme val="none"/>
      </font>
      <numFmt numFmtId="1" formatCode="0"/>
      <alignment horizontal="center" vertical="center" textRotation="0" wrapText="1" indent="0" justifyLastLine="0" shrinkToFit="0" readingOrder="0"/>
      <border diagonalUp="0" diagonalDown="0">
        <left/>
        <right style="medium">
          <color indexed="64"/>
        </right>
        <top/>
        <bottom/>
        <vertical/>
        <horizontal/>
      </border>
    </dxf>
    <dxf>
      <font>
        <strike val="0"/>
        <outline val="0"/>
        <shadow val="0"/>
        <u val="none"/>
        <vertAlign val="baseline"/>
        <color rgb="FF000000"/>
        <name val="Aptos Narrow"/>
        <family val="2"/>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numFmt numFmtId="30" formatCode="@"/>
      <fill>
        <patternFill patternType="solid">
          <fgColor indexed="64"/>
          <bgColor rgb="FF7DC8FF"/>
        </patternFill>
      </fill>
      <alignment horizontal="center" vertical="center" textRotation="0" wrapText="1" indent="0" justifyLastLine="0" shrinkToFit="0" readingOrder="0"/>
    </dxf>
  </dxfs>
  <tableStyles count="0" defaultTableStyle="TableStyleMedium2" defaultPivotStyle="PivotStyleLight16"/>
  <colors>
    <mruColors>
      <color rgb="FFFFCCCC"/>
      <color rgb="FFFF7D7D"/>
      <color rgb="FF7DC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CPU Instructions Saved - Simple - PCR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39CA-44A6-BE92-554E881FA817}"/>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39CA-44A6-BE92-554E881FA817}"/>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'Exp1'!$E$22:$E$23</c:f>
              <c:numCache>
                <c:formatCode>0</c:formatCode>
                <c:ptCount val="2"/>
                <c:pt idx="0">
                  <c:v>77.222199999999987</c:v>
                </c:pt>
                <c:pt idx="1">
                  <c:v>102</c:v>
                </c:pt>
              </c:numCache>
            </c:numRef>
          </c:val>
          <c:extLst>
            <c:ext xmlns:c16="http://schemas.microsoft.com/office/drawing/2014/chart" uri="{C3380CC4-5D6E-409C-BE32-E72D297353CC}">
              <c16:uniqueId val="{00000004-39CA-44A6-BE92-554E881FA817}"/>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CPU Instructions Saved - Medium - PCR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AB5F-4070-8E4C-503B539210F4}"/>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AB5F-4070-8E4C-503B539210F4}"/>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'Exp1'!$H$22:$H$23</c:f>
              <c:numCache>
                <c:formatCode>0</c:formatCode>
                <c:ptCount val="2"/>
                <c:pt idx="0">
                  <c:v>298.38139999999999</c:v>
                </c:pt>
                <c:pt idx="1">
                  <c:v>139</c:v>
                </c:pt>
              </c:numCache>
            </c:numRef>
          </c:val>
          <c:extLst>
            <c:ext xmlns:c16="http://schemas.microsoft.com/office/drawing/2014/chart" uri="{C3380CC4-5D6E-409C-BE32-E72D297353CC}">
              <c16:uniqueId val="{00000004-AB5F-4070-8E4C-503B539210F4}"/>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CPU Instructions Saved - Complex - PCR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3ED3-40CD-8B26-4CDB65FBCDDC}"/>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3ED3-40CD-8B26-4CDB65FBCDDC}"/>
              </c:ext>
            </c:extLst>
          </c:dPt>
          <c:dLbls>
            <c:dLbl>
              <c:idx val="1"/>
              <c:dLblPos val="ct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ED3-40CD-8B26-4CDB65FBCDDC}"/>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'Exp1'!$K$22:$K$23</c:f>
              <c:numCache>
                <c:formatCode>0</c:formatCode>
                <c:ptCount val="2"/>
                <c:pt idx="0">
                  <c:v>2295.4552000000003</c:v>
                </c:pt>
                <c:pt idx="1">
                  <c:v>82</c:v>
                </c:pt>
              </c:numCache>
            </c:numRef>
          </c:val>
          <c:extLst>
            <c:ext xmlns:c16="http://schemas.microsoft.com/office/drawing/2014/chart" uri="{C3380CC4-5D6E-409C-BE32-E72D297353CC}">
              <c16:uniqueId val="{00000004-3ED3-40CD-8B26-4CDB65FBCDDC}"/>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CPU Instructions Saved - Simple - PCR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8BE7-4901-AFBE-6193D3350FA3}"/>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8BE7-4901-AFBE-6193D3350FA3}"/>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'Exp2'!$E$22:$E$23</c:f>
              <c:numCache>
                <c:formatCode>0</c:formatCode>
                <c:ptCount val="2"/>
                <c:pt idx="0">
                  <c:v>95.263400000000004</c:v>
                </c:pt>
                <c:pt idx="1">
                  <c:v>112</c:v>
                </c:pt>
              </c:numCache>
            </c:numRef>
          </c:val>
          <c:extLst>
            <c:ext xmlns:c16="http://schemas.microsoft.com/office/drawing/2014/chart" uri="{C3380CC4-5D6E-409C-BE32-E72D297353CC}">
              <c16:uniqueId val="{00000004-8BE7-4901-AFBE-6193D3350FA3}"/>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CPU Instructions Saved - Medium - PCR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C985-4AB8-8152-6C08C90DA702}"/>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C985-4AB8-8152-6C08C90DA702}"/>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'Exp2'!$H$22:$H$23</c:f>
              <c:numCache>
                <c:formatCode>0</c:formatCode>
                <c:ptCount val="2"/>
                <c:pt idx="0">
                  <c:v>296.80700000000007</c:v>
                </c:pt>
                <c:pt idx="1">
                  <c:v>142</c:v>
                </c:pt>
              </c:numCache>
            </c:numRef>
          </c:val>
          <c:extLst>
            <c:ext xmlns:c16="http://schemas.microsoft.com/office/drawing/2014/chart" uri="{C3380CC4-5D6E-409C-BE32-E72D297353CC}">
              <c16:uniqueId val="{00000004-C985-4AB8-8152-6C08C90DA702}"/>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CPU Instructions Saved - Complex - PCR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D100-4A95-B553-7AFA90E2652C}"/>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D100-4A95-B553-7AFA90E2652C}"/>
              </c:ext>
            </c:extLst>
          </c:dPt>
          <c:dLbls>
            <c:dLbl>
              <c:idx val="1"/>
              <c:dLblPos val="ct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D100-4A95-B553-7AFA90E2652C}"/>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'Exp2'!$K$22:$K$23</c:f>
              <c:numCache>
                <c:formatCode>0</c:formatCode>
                <c:ptCount val="2"/>
                <c:pt idx="0">
                  <c:v>2296.9647999999997</c:v>
                </c:pt>
                <c:pt idx="1">
                  <c:v>113</c:v>
                </c:pt>
              </c:numCache>
            </c:numRef>
          </c:val>
          <c:extLst>
            <c:ext xmlns:c16="http://schemas.microsoft.com/office/drawing/2014/chart" uri="{C3380CC4-5D6E-409C-BE32-E72D297353CC}">
              <c16:uniqueId val="{00000004-D100-4A95-B553-7AFA90E2652C}"/>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CPU Instructions Saved - PCR vs. NR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7662-4E68-8C11-0E6FCB41A6BB}"/>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7662-4E68-8C11-0E6FCB41A6BB}"/>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'Exp3'!$E$22:$E$23</c:f>
              <c:numCache>
                <c:formatCode>0</c:formatCode>
                <c:ptCount val="2"/>
                <c:pt idx="0">
                  <c:v>339.51819999999987</c:v>
                </c:pt>
                <c:pt idx="1">
                  <c:v>161</c:v>
                </c:pt>
              </c:numCache>
            </c:numRef>
          </c:val>
          <c:extLst>
            <c:ext xmlns:c16="http://schemas.microsoft.com/office/drawing/2014/chart" uri="{C3380CC4-5D6E-409C-BE32-E72D297353CC}">
              <c16:uniqueId val="{00000004-7662-4E68-8C11-0E6FCB41A6BB}"/>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CPU Instructions Saved - PCR vs. NR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BD33-424E-948F-E59A4BDE326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BD33-424E-948F-E59A4BDE3269}"/>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'Exp4'!$E$22:$E$23</c:f>
              <c:numCache>
                <c:formatCode>0</c:formatCode>
                <c:ptCount val="2"/>
                <c:pt idx="0">
                  <c:v>2189.8873999999996</c:v>
                </c:pt>
                <c:pt idx="1">
                  <c:v>319</c:v>
                </c:pt>
              </c:numCache>
            </c:numRef>
          </c:val>
          <c:extLst>
            <c:ext xmlns:c16="http://schemas.microsoft.com/office/drawing/2014/chart" uri="{C3380CC4-5D6E-409C-BE32-E72D297353CC}">
              <c16:uniqueId val="{00000004-BD33-424E-948F-E59A4BDE3269}"/>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CPU Instructions Saved - PCR vs. NR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9FEE-4447-B1ED-AEEB2D71F7C4}"/>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9FEE-4447-B1ED-AEEB2D71F7C4}"/>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'Exp5'!$D$22:$D$23</c:f>
              <c:numCache>
                <c:formatCode>0</c:formatCode>
                <c:ptCount val="2"/>
                <c:pt idx="0">
                  <c:v>11248.536200000002</c:v>
                </c:pt>
                <c:pt idx="1">
                  <c:v>1471</c:v>
                </c:pt>
              </c:numCache>
            </c:numRef>
          </c:val>
          <c:extLst>
            <c:ext xmlns:c16="http://schemas.microsoft.com/office/drawing/2014/chart" uri="{C3380CC4-5D6E-409C-BE32-E72D297353CC}">
              <c16:uniqueId val="{00000004-9FEE-4447-B1ED-AEEB2D71F7C4}"/>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CPU Instructions Saved - PCR DBG OFF vs. NR DBG OFF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526C-457B-9650-73CDC2D2B627}"/>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26C-457B-9650-73CDC2D2B627}"/>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'Exp6'!$D$17:$D$18</c:f>
              <c:numCache>
                <c:formatCode>0</c:formatCode>
                <c:ptCount val="2"/>
                <c:pt idx="0">
                  <c:v>11168.2305</c:v>
                </c:pt>
                <c:pt idx="1">
                  <c:v>1496</c:v>
                </c:pt>
              </c:numCache>
            </c:numRef>
          </c:val>
          <c:extLst>
            <c:ext xmlns:c16="http://schemas.microsoft.com/office/drawing/2014/chart" uri="{C3380CC4-5D6E-409C-BE32-E72D297353CC}">
              <c16:uniqueId val="{00000004-526C-457B-9650-73CDC2D2B627}"/>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CPU Instructions Saved - PCR DBG OFF vs. NR DBG OFF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CF0C-481B-8B96-96A611D37E11}"/>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CF0C-481B-8B96-96A611D37E11}"/>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'Exp6 (rerun)'!$D$17:$D$18</c:f>
              <c:numCache>
                <c:formatCode>0</c:formatCode>
                <c:ptCount val="2"/>
                <c:pt idx="0">
                  <c:v>11262.101700000001</c:v>
                </c:pt>
                <c:pt idx="1">
                  <c:v>1377</c:v>
                </c:pt>
              </c:numCache>
            </c:numRef>
          </c:val>
          <c:extLst>
            <c:ext xmlns:c16="http://schemas.microsoft.com/office/drawing/2014/chart" uri="{C3380CC4-5D6E-409C-BE32-E72D297353CC}">
              <c16:uniqueId val="{00000004-CF0C-481B-8B96-96A611D37E11}"/>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NR VIs</c:v>
          </c:tx>
          <c:spPr>
            <a:solidFill>
              <a:schemeClr val="accent1"/>
            </a:solidFill>
            <a:ln>
              <a:noFill/>
            </a:ln>
            <a:effectLst/>
          </c:spPr>
          <c:invertIfNegative val="0"/>
          <c:cat>
            <c:strLit>
              <c:ptCount val="3"/>
              <c:pt idx="0">
                <c:v>One Loop</c:v>
              </c:pt>
              <c:pt idx="1">
                <c:v>Two Loops</c:v>
              </c:pt>
              <c:pt idx="2">
                <c:v>Four Loops</c:v>
              </c:pt>
            </c:strLit>
          </c:cat>
          <c:val>
            <c:numRef>
              <c:f>'Exp7'!$C$8:$E$8</c:f>
              <c:numCache>
                <c:formatCode>0.0</c:formatCode>
                <c:ptCount val="3"/>
                <c:pt idx="0">
                  <c:v>2454630.2000000002</c:v>
                </c:pt>
                <c:pt idx="1">
                  <c:v>627780</c:v>
                </c:pt>
                <c:pt idx="2">
                  <c:v>297183</c:v>
                </c:pt>
              </c:numCache>
            </c:numRef>
          </c:val>
          <c:extLst>
            <c:ext xmlns:c16="http://schemas.microsoft.com/office/drawing/2014/chart" uri="{C3380CC4-5D6E-409C-BE32-E72D297353CC}">
              <c16:uniqueId val="{00000000-D799-4422-A17B-BCD243BF5C0F}"/>
            </c:ext>
          </c:extLst>
        </c:ser>
        <c:ser>
          <c:idx val="1"/>
          <c:order val="1"/>
          <c:tx>
            <c:v>SCR VIs</c:v>
          </c:tx>
          <c:spPr>
            <a:solidFill>
              <a:schemeClr val="accent2"/>
            </a:solidFill>
            <a:ln>
              <a:noFill/>
            </a:ln>
            <a:effectLst/>
          </c:spPr>
          <c:invertIfNegative val="0"/>
          <c:cat>
            <c:strLit>
              <c:ptCount val="3"/>
              <c:pt idx="0">
                <c:v>One Loop</c:v>
              </c:pt>
              <c:pt idx="1">
                <c:v>Two Loops</c:v>
              </c:pt>
              <c:pt idx="2">
                <c:v>Four Loops</c:v>
              </c:pt>
            </c:strLit>
          </c:cat>
          <c:val>
            <c:numRef>
              <c:f>'Exp7'!$F$8:$H$8</c:f>
              <c:numCache>
                <c:formatCode>0.0</c:formatCode>
                <c:ptCount val="3"/>
                <c:pt idx="0">
                  <c:v>2415247.7999999998</c:v>
                </c:pt>
                <c:pt idx="1">
                  <c:v>1782255.6</c:v>
                </c:pt>
                <c:pt idx="2">
                  <c:v>1318854.2</c:v>
                </c:pt>
              </c:numCache>
            </c:numRef>
          </c:val>
          <c:extLst>
            <c:ext xmlns:c16="http://schemas.microsoft.com/office/drawing/2014/chart" uri="{C3380CC4-5D6E-409C-BE32-E72D297353CC}">
              <c16:uniqueId val="{00000002-D799-4422-A17B-BCD243BF5C0F}"/>
            </c:ext>
          </c:extLst>
        </c:ser>
        <c:ser>
          <c:idx val="2"/>
          <c:order val="2"/>
          <c:tx>
            <c:v>PCR VIs (DBG On)</c:v>
          </c:tx>
          <c:spPr>
            <a:solidFill>
              <a:schemeClr val="accent3"/>
            </a:solidFill>
            <a:ln>
              <a:noFill/>
            </a:ln>
            <a:effectLst/>
          </c:spPr>
          <c:invertIfNegative val="0"/>
          <c:cat>
            <c:strLit>
              <c:ptCount val="3"/>
              <c:pt idx="0">
                <c:v>One Loop</c:v>
              </c:pt>
              <c:pt idx="1">
                <c:v>Two Loops</c:v>
              </c:pt>
              <c:pt idx="2">
                <c:v>Four Loops</c:v>
              </c:pt>
            </c:strLit>
          </c:cat>
          <c:val>
            <c:numRef>
              <c:f>'Exp7'!$I$8:$K$8</c:f>
              <c:numCache>
                <c:formatCode>0.0</c:formatCode>
                <c:ptCount val="3"/>
                <c:pt idx="0">
                  <c:v>2799940.6</c:v>
                </c:pt>
                <c:pt idx="1">
                  <c:v>2570260.4</c:v>
                </c:pt>
                <c:pt idx="2">
                  <c:v>2203846.46</c:v>
                </c:pt>
              </c:numCache>
            </c:numRef>
          </c:val>
          <c:extLst>
            <c:ext xmlns:c16="http://schemas.microsoft.com/office/drawing/2014/chart" uri="{C3380CC4-5D6E-409C-BE32-E72D297353CC}">
              <c16:uniqueId val="{00000003-D799-4422-A17B-BCD243BF5C0F}"/>
            </c:ext>
          </c:extLst>
        </c:ser>
        <c:ser>
          <c:idx val="3"/>
          <c:order val="3"/>
          <c:tx>
            <c:v>PCR VIs (DBG Off + Subroutine)</c:v>
          </c:tx>
          <c:spPr>
            <a:solidFill>
              <a:schemeClr val="accent4"/>
            </a:solidFill>
            <a:ln>
              <a:noFill/>
            </a:ln>
            <a:effectLst/>
          </c:spPr>
          <c:invertIfNegative val="0"/>
          <c:cat>
            <c:strLit>
              <c:ptCount val="3"/>
              <c:pt idx="0">
                <c:v>One Loop</c:v>
              </c:pt>
              <c:pt idx="1">
                <c:v>Two Loops</c:v>
              </c:pt>
              <c:pt idx="2">
                <c:v>Four Loops</c:v>
              </c:pt>
            </c:strLit>
          </c:cat>
          <c:val>
            <c:numRef>
              <c:f>'Exp7'!$L$8:$N$8</c:f>
              <c:numCache>
                <c:formatCode>0.0</c:formatCode>
                <c:ptCount val="3"/>
                <c:pt idx="0">
                  <c:v>2799798.8</c:v>
                </c:pt>
                <c:pt idx="1">
                  <c:v>2629925.5</c:v>
                </c:pt>
                <c:pt idx="2">
                  <c:v>2561635.9</c:v>
                </c:pt>
              </c:numCache>
            </c:numRef>
          </c:val>
          <c:extLst>
            <c:ext xmlns:c16="http://schemas.microsoft.com/office/drawing/2014/chart" uri="{C3380CC4-5D6E-409C-BE32-E72D297353CC}">
              <c16:uniqueId val="{00000004-D799-4422-A17B-BCD243BF5C0F}"/>
            </c:ext>
          </c:extLst>
        </c:ser>
        <c:ser>
          <c:idx val="4"/>
          <c:order val="4"/>
          <c:tx>
            <c:v>PCR VIs (DBG Off + Inline)</c:v>
          </c:tx>
          <c:spPr>
            <a:solidFill>
              <a:schemeClr val="accent5"/>
            </a:solidFill>
            <a:ln>
              <a:noFill/>
            </a:ln>
            <a:effectLst/>
          </c:spPr>
          <c:invertIfNegative val="0"/>
          <c:cat>
            <c:strLit>
              <c:ptCount val="3"/>
              <c:pt idx="0">
                <c:v>One Loop</c:v>
              </c:pt>
              <c:pt idx="1">
                <c:v>Two Loops</c:v>
              </c:pt>
              <c:pt idx="2">
                <c:v>Four Loops</c:v>
              </c:pt>
            </c:strLit>
          </c:cat>
          <c:val>
            <c:numRef>
              <c:f>'Exp7'!$O$8:$Q$8</c:f>
              <c:numCache>
                <c:formatCode>0.0</c:formatCode>
                <c:ptCount val="3"/>
                <c:pt idx="0">
                  <c:v>3017640.6</c:v>
                </c:pt>
                <c:pt idx="1">
                  <c:v>2962137.7</c:v>
                </c:pt>
                <c:pt idx="2">
                  <c:v>2771471.88</c:v>
                </c:pt>
              </c:numCache>
            </c:numRef>
          </c:val>
          <c:extLst>
            <c:ext xmlns:c16="http://schemas.microsoft.com/office/drawing/2014/chart" uri="{C3380CC4-5D6E-409C-BE32-E72D297353CC}">
              <c16:uniqueId val="{00000005-D799-4422-A17B-BCD243BF5C0F}"/>
            </c:ext>
          </c:extLst>
        </c:ser>
        <c:dLbls>
          <c:showLegendKey val="0"/>
          <c:showVal val="0"/>
          <c:showCatName val="0"/>
          <c:showSerName val="0"/>
          <c:showPercent val="0"/>
          <c:showBubbleSize val="0"/>
        </c:dLbls>
        <c:gapWidth val="219"/>
        <c:overlap val="-27"/>
        <c:axId val="1152372608"/>
        <c:axId val="1347862256"/>
      </c:barChart>
      <c:catAx>
        <c:axId val="115237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crossAx val="1347862256"/>
        <c:crosses val="autoZero"/>
        <c:auto val="1"/>
        <c:lblAlgn val="ctr"/>
        <c:lblOffset val="100"/>
        <c:noMultiLvlLbl val="0"/>
      </c:catAx>
      <c:valAx>
        <c:axId val="1347862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a:t>No. Of Iterations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15237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NR VIs</c:v>
          </c:tx>
          <c:spPr>
            <a:solidFill>
              <a:schemeClr val="accent1"/>
            </a:solidFill>
            <a:ln>
              <a:noFill/>
            </a:ln>
            <a:effectLst/>
          </c:spPr>
          <c:invertIfNegative val="0"/>
          <c:cat>
            <c:strLit>
              <c:ptCount val="3"/>
              <c:pt idx="0">
                <c:v>One Loop</c:v>
              </c:pt>
              <c:pt idx="1">
                <c:v>Two Loops</c:v>
              </c:pt>
              <c:pt idx="2">
                <c:v>Four Loops</c:v>
              </c:pt>
            </c:strLit>
          </c:cat>
          <c:val>
            <c:numRef>
              <c:f>'Exp7'!$C$8:$E$8</c:f>
              <c:numCache>
                <c:formatCode>0.0</c:formatCode>
                <c:ptCount val="3"/>
                <c:pt idx="0">
                  <c:v>2454630.2000000002</c:v>
                </c:pt>
                <c:pt idx="1">
                  <c:v>627780</c:v>
                </c:pt>
                <c:pt idx="2">
                  <c:v>297183</c:v>
                </c:pt>
              </c:numCache>
            </c:numRef>
          </c:val>
          <c:extLst>
            <c:ext xmlns:c16="http://schemas.microsoft.com/office/drawing/2014/chart" uri="{C3380CC4-5D6E-409C-BE32-E72D297353CC}">
              <c16:uniqueId val="{00000000-C5A5-4911-8615-00F104583E39}"/>
            </c:ext>
          </c:extLst>
        </c:ser>
        <c:ser>
          <c:idx val="1"/>
          <c:order val="1"/>
          <c:tx>
            <c:v>SCR VIs</c:v>
          </c:tx>
          <c:spPr>
            <a:solidFill>
              <a:schemeClr val="accent2"/>
            </a:solidFill>
            <a:ln>
              <a:noFill/>
            </a:ln>
            <a:effectLst/>
          </c:spPr>
          <c:invertIfNegative val="0"/>
          <c:cat>
            <c:strLit>
              <c:ptCount val="3"/>
              <c:pt idx="0">
                <c:v>One Loop</c:v>
              </c:pt>
              <c:pt idx="1">
                <c:v>Two Loops</c:v>
              </c:pt>
              <c:pt idx="2">
                <c:v>Four Loops</c:v>
              </c:pt>
            </c:strLit>
          </c:cat>
          <c:val>
            <c:numRef>
              <c:f>'Exp7'!$F$8:$H$8</c:f>
              <c:numCache>
                <c:formatCode>0.0</c:formatCode>
                <c:ptCount val="3"/>
                <c:pt idx="0">
                  <c:v>2415247.7999999998</c:v>
                </c:pt>
                <c:pt idx="1">
                  <c:v>1782255.6</c:v>
                </c:pt>
                <c:pt idx="2">
                  <c:v>1318854.2</c:v>
                </c:pt>
              </c:numCache>
            </c:numRef>
          </c:val>
          <c:extLst>
            <c:ext xmlns:c16="http://schemas.microsoft.com/office/drawing/2014/chart" uri="{C3380CC4-5D6E-409C-BE32-E72D297353CC}">
              <c16:uniqueId val="{00000001-C5A5-4911-8615-00F104583E39}"/>
            </c:ext>
          </c:extLst>
        </c:ser>
        <c:ser>
          <c:idx val="2"/>
          <c:order val="2"/>
          <c:tx>
            <c:v>PCR VIs</c:v>
          </c:tx>
          <c:spPr>
            <a:solidFill>
              <a:schemeClr val="accent3"/>
            </a:solidFill>
            <a:ln>
              <a:noFill/>
            </a:ln>
            <a:effectLst/>
          </c:spPr>
          <c:invertIfNegative val="0"/>
          <c:cat>
            <c:strLit>
              <c:ptCount val="3"/>
              <c:pt idx="0">
                <c:v>One Loop</c:v>
              </c:pt>
              <c:pt idx="1">
                <c:v>Two Loops</c:v>
              </c:pt>
              <c:pt idx="2">
                <c:v>Four Loops</c:v>
              </c:pt>
            </c:strLit>
          </c:cat>
          <c:val>
            <c:numRef>
              <c:f>'Exp7'!$I$8:$K$8</c:f>
              <c:numCache>
                <c:formatCode>0.0</c:formatCode>
                <c:ptCount val="3"/>
                <c:pt idx="0">
                  <c:v>2799940.6</c:v>
                </c:pt>
                <c:pt idx="1">
                  <c:v>2570260.4</c:v>
                </c:pt>
                <c:pt idx="2">
                  <c:v>2203846.46</c:v>
                </c:pt>
              </c:numCache>
            </c:numRef>
          </c:val>
          <c:extLst>
            <c:ext xmlns:c16="http://schemas.microsoft.com/office/drawing/2014/chart" uri="{C3380CC4-5D6E-409C-BE32-E72D297353CC}">
              <c16:uniqueId val="{00000002-C5A5-4911-8615-00F104583E39}"/>
            </c:ext>
          </c:extLst>
        </c:ser>
        <c:dLbls>
          <c:showLegendKey val="0"/>
          <c:showVal val="0"/>
          <c:showCatName val="0"/>
          <c:showSerName val="0"/>
          <c:showPercent val="0"/>
          <c:showBubbleSize val="0"/>
        </c:dLbls>
        <c:gapWidth val="219"/>
        <c:overlap val="-27"/>
        <c:axId val="1152372608"/>
        <c:axId val="1347862256"/>
      </c:barChart>
      <c:catAx>
        <c:axId val="115237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crossAx val="1347862256"/>
        <c:crosses val="autoZero"/>
        <c:auto val="1"/>
        <c:lblAlgn val="ctr"/>
        <c:lblOffset val="100"/>
        <c:noMultiLvlLbl val="0"/>
      </c:catAx>
      <c:valAx>
        <c:axId val="1347862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a:t>No. Of Iterations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15237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3"/>
          <c:order val="0"/>
          <c:tx>
            <c:v>PCR VIs (DBG Off + Subroutine)</c:v>
          </c:tx>
          <c:spPr>
            <a:solidFill>
              <a:schemeClr val="accent4"/>
            </a:solidFill>
            <a:ln>
              <a:noFill/>
            </a:ln>
            <a:effectLst/>
          </c:spPr>
          <c:invertIfNegative val="0"/>
          <c:cat>
            <c:strLit>
              <c:ptCount val="3"/>
              <c:pt idx="0">
                <c:v>One Loop</c:v>
              </c:pt>
              <c:pt idx="1">
                <c:v>Two Loops</c:v>
              </c:pt>
              <c:pt idx="2">
                <c:v>Four Loops</c:v>
              </c:pt>
            </c:strLit>
          </c:cat>
          <c:val>
            <c:numRef>
              <c:f>'Exp7 (rerun with C=10)'!$C$8:$E$8</c:f>
              <c:numCache>
                <c:formatCode>0.0</c:formatCode>
                <c:ptCount val="3"/>
                <c:pt idx="0">
                  <c:v>2903559.8</c:v>
                </c:pt>
                <c:pt idx="1">
                  <c:v>2871871.2</c:v>
                </c:pt>
                <c:pt idx="2">
                  <c:v>2654095.9</c:v>
                </c:pt>
              </c:numCache>
            </c:numRef>
          </c:val>
          <c:extLst>
            <c:ext xmlns:c16="http://schemas.microsoft.com/office/drawing/2014/chart" uri="{C3380CC4-5D6E-409C-BE32-E72D297353CC}">
              <c16:uniqueId val="{00000003-813E-4A9A-A4D0-B94ECEBDA499}"/>
            </c:ext>
          </c:extLst>
        </c:ser>
        <c:ser>
          <c:idx val="4"/>
          <c:order val="1"/>
          <c:tx>
            <c:v>PCR VIs (DBG Off + Inline)</c:v>
          </c:tx>
          <c:spPr>
            <a:solidFill>
              <a:schemeClr val="accent5"/>
            </a:solidFill>
            <a:ln>
              <a:noFill/>
            </a:ln>
            <a:effectLst/>
          </c:spPr>
          <c:invertIfNegative val="0"/>
          <c:cat>
            <c:strLit>
              <c:ptCount val="3"/>
              <c:pt idx="0">
                <c:v>One Loop</c:v>
              </c:pt>
              <c:pt idx="1">
                <c:v>Two Loops</c:v>
              </c:pt>
              <c:pt idx="2">
                <c:v>Four Loops</c:v>
              </c:pt>
            </c:strLit>
          </c:cat>
          <c:val>
            <c:numRef>
              <c:f>'Exp7 (rerun with C=10)'!$F$8:$H$8</c:f>
              <c:numCache>
                <c:formatCode>0.0</c:formatCode>
                <c:ptCount val="3"/>
                <c:pt idx="0">
                  <c:v>3047350.2</c:v>
                </c:pt>
                <c:pt idx="1">
                  <c:v>3020944.8</c:v>
                </c:pt>
                <c:pt idx="2">
                  <c:v>2820430.7</c:v>
                </c:pt>
              </c:numCache>
            </c:numRef>
          </c:val>
          <c:extLst>
            <c:ext xmlns:c16="http://schemas.microsoft.com/office/drawing/2014/chart" uri="{C3380CC4-5D6E-409C-BE32-E72D297353CC}">
              <c16:uniqueId val="{00000004-813E-4A9A-A4D0-B94ECEBDA499}"/>
            </c:ext>
          </c:extLst>
        </c:ser>
        <c:dLbls>
          <c:showLegendKey val="0"/>
          <c:showVal val="0"/>
          <c:showCatName val="0"/>
          <c:showSerName val="0"/>
          <c:showPercent val="0"/>
          <c:showBubbleSize val="0"/>
        </c:dLbls>
        <c:gapWidth val="219"/>
        <c:overlap val="-27"/>
        <c:axId val="1152372608"/>
        <c:axId val="1347862256"/>
      </c:barChart>
      <c:catAx>
        <c:axId val="115237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crossAx val="1347862256"/>
        <c:crosses val="autoZero"/>
        <c:auto val="1"/>
        <c:lblAlgn val="ctr"/>
        <c:lblOffset val="100"/>
        <c:noMultiLvlLbl val="0"/>
      </c:catAx>
      <c:valAx>
        <c:axId val="1347862256"/>
        <c:scaling>
          <c:orientation val="minMax"/>
          <c:max val="30000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15237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v>Four Loops Performance of PCR Subroutine VIs</c:v>
          </c:tx>
          <c:spPr>
            <a:solidFill>
              <a:schemeClr val="accent1"/>
            </a:solidFill>
            <a:ln>
              <a:noFill/>
            </a:ln>
            <a:effectLst/>
          </c:spPr>
          <c:invertIfNegative val="0"/>
          <c:cat>
            <c:strLit>
              <c:ptCount val="2"/>
              <c:pt idx="0">
                <c:v>Dev Env</c:v>
              </c:pt>
              <c:pt idx="1">
                <c:v>EXE</c:v>
              </c:pt>
            </c:strLit>
          </c:cat>
          <c:val>
            <c:numRef>
              <c:f>('Exp7 (rerun with C=10)'!$E$8,'Exp7 (rerun with C=10)'!$I$8)</c:f>
              <c:numCache>
                <c:formatCode>0.0</c:formatCode>
                <c:ptCount val="2"/>
                <c:pt idx="0">
                  <c:v>2654095.9</c:v>
                </c:pt>
                <c:pt idx="1">
                  <c:v>2667468.4200000004</c:v>
                </c:pt>
              </c:numCache>
            </c:numRef>
          </c:val>
          <c:extLst>
            <c:ext xmlns:c16="http://schemas.microsoft.com/office/drawing/2014/chart" uri="{C3380CC4-5D6E-409C-BE32-E72D297353CC}">
              <c16:uniqueId val="{00000003-0BBB-4BB5-9A4C-A379DACD7CC7}"/>
            </c:ext>
          </c:extLst>
        </c:ser>
        <c:dLbls>
          <c:showLegendKey val="0"/>
          <c:showVal val="0"/>
          <c:showCatName val="0"/>
          <c:showSerName val="0"/>
          <c:showPercent val="0"/>
          <c:showBubbleSize val="0"/>
        </c:dLbls>
        <c:gapWidth val="219"/>
        <c:overlap val="-27"/>
        <c:axId val="1152372608"/>
        <c:axId val="1347862256"/>
      </c:barChart>
      <c:catAx>
        <c:axId val="115237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crossAx val="1347862256"/>
        <c:crosses val="autoZero"/>
        <c:auto val="1"/>
        <c:lblAlgn val="ctr"/>
        <c:lblOffset val="100"/>
        <c:noMultiLvlLbl val="0"/>
      </c:catAx>
      <c:valAx>
        <c:axId val="1347862256"/>
        <c:scaling>
          <c:orientation val="minMax"/>
          <c:max val="2700000"/>
          <c:min val="2600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15237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v>Four Loops Performance of PCR Inlined VIs</c:v>
          </c:tx>
          <c:spPr>
            <a:solidFill>
              <a:schemeClr val="accent1"/>
            </a:solidFill>
            <a:ln>
              <a:noFill/>
            </a:ln>
            <a:effectLst/>
          </c:spPr>
          <c:invertIfNegative val="0"/>
          <c:cat>
            <c:strLit>
              <c:ptCount val="2"/>
              <c:pt idx="0">
                <c:v>Dev Env</c:v>
              </c:pt>
              <c:pt idx="1">
                <c:v>EXE</c:v>
              </c:pt>
            </c:strLit>
          </c:cat>
          <c:val>
            <c:numRef>
              <c:f>('Exp7 (rerun with C=10)'!$H$8,'Exp7 (rerun with C=10)'!$J$8)</c:f>
              <c:numCache>
                <c:formatCode>0.0</c:formatCode>
                <c:ptCount val="2"/>
                <c:pt idx="0">
                  <c:v>2820430.7</c:v>
                </c:pt>
                <c:pt idx="1">
                  <c:v>2830647.78</c:v>
                </c:pt>
              </c:numCache>
            </c:numRef>
          </c:val>
          <c:extLst>
            <c:ext xmlns:c16="http://schemas.microsoft.com/office/drawing/2014/chart" uri="{C3380CC4-5D6E-409C-BE32-E72D297353CC}">
              <c16:uniqueId val="{00000000-38DA-4767-8D02-DFAF24931C65}"/>
            </c:ext>
          </c:extLst>
        </c:ser>
        <c:dLbls>
          <c:showLegendKey val="0"/>
          <c:showVal val="0"/>
          <c:showCatName val="0"/>
          <c:showSerName val="0"/>
          <c:showPercent val="0"/>
          <c:showBubbleSize val="0"/>
        </c:dLbls>
        <c:gapWidth val="219"/>
        <c:overlap val="-27"/>
        <c:axId val="1152372608"/>
        <c:axId val="1347862256"/>
      </c:barChart>
      <c:catAx>
        <c:axId val="115237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crossAx val="1347862256"/>
        <c:crosses val="autoZero"/>
        <c:auto val="1"/>
        <c:lblAlgn val="ctr"/>
        <c:lblOffset val="100"/>
        <c:noMultiLvlLbl val="0"/>
      </c:catAx>
      <c:valAx>
        <c:axId val="1347862256"/>
        <c:scaling>
          <c:orientation val="minMax"/>
          <c:max val="2840000"/>
          <c:min val="2800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15237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0"/>
          <c:tx>
            <c:v>EXE File Size Comparison</c:v>
          </c:tx>
          <c:spPr>
            <a:solidFill>
              <a:schemeClr val="accent4"/>
            </a:solidFill>
            <a:ln>
              <a:noFill/>
            </a:ln>
            <a:effectLst/>
          </c:spPr>
          <c:invertIfNegative val="0"/>
          <c:cat>
            <c:strLit>
              <c:ptCount val="2"/>
              <c:pt idx="0">
                <c:v>EXE Size (subroutine VIs)</c:v>
              </c:pt>
              <c:pt idx="1">
                <c:v>EXE Size (inline VIs)</c:v>
              </c:pt>
            </c:strLit>
          </c:cat>
          <c:val>
            <c:numRef>
              <c:f>'Exp12-EXE File Size'!$C$7:$D$7</c:f>
              <c:numCache>
                <c:formatCode>0</c:formatCode>
                <c:ptCount val="2"/>
                <c:pt idx="0">
                  <c:v>242</c:v>
                </c:pt>
                <c:pt idx="1">
                  <c:v>268</c:v>
                </c:pt>
              </c:numCache>
            </c:numRef>
          </c:val>
          <c:extLst>
            <c:ext xmlns:c16="http://schemas.microsoft.com/office/drawing/2014/chart" uri="{C3380CC4-5D6E-409C-BE32-E72D297353CC}">
              <c16:uniqueId val="{00000000-C47E-44C7-8052-1DA5048D9C79}"/>
            </c:ext>
          </c:extLst>
        </c:ser>
        <c:dLbls>
          <c:showLegendKey val="0"/>
          <c:showVal val="0"/>
          <c:showCatName val="0"/>
          <c:showSerName val="0"/>
          <c:showPercent val="0"/>
          <c:showBubbleSize val="0"/>
        </c:dLbls>
        <c:gapWidth val="219"/>
        <c:overlap val="-27"/>
        <c:axId val="1152372608"/>
        <c:axId val="1347862256"/>
      </c:barChart>
      <c:catAx>
        <c:axId val="115237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crossAx val="1347862256"/>
        <c:crosses val="autoZero"/>
        <c:auto val="1"/>
        <c:lblAlgn val="ctr"/>
        <c:lblOffset val="100"/>
        <c:noMultiLvlLbl val="0"/>
      </c:catAx>
      <c:valAx>
        <c:axId val="1347862256"/>
        <c:scaling>
          <c:orientation val="minMax"/>
          <c:max val="3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15237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GB" sz="1800">
                <a:solidFill>
                  <a:schemeClr val="tx1"/>
                </a:solidFill>
              </a:rPr>
              <a:t>Avg. No. Of Loop Iterations Per Loop (higher is better, indicates </a:t>
            </a:r>
            <a:r>
              <a:rPr lang="en-GB" sz="1800" baseline="0">
                <a:solidFill>
                  <a:schemeClr val="tx1"/>
                </a:solidFill>
              </a:rPr>
              <a:t>more performance)</a:t>
            </a:r>
            <a:endParaRPr lang="en-GB" sz="1800">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GB"/>
        </a:p>
      </c:txPr>
    </c:title>
    <c:autoTitleDeleted val="0"/>
    <c:plotArea>
      <c:layout/>
      <c:barChart>
        <c:barDir val="col"/>
        <c:grouping val="clustered"/>
        <c:varyColors val="0"/>
        <c:ser>
          <c:idx val="0"/>
          <c:order val="0"/>
          <c:tx>
            <c:v>For Loops (SBRTN)</c:v>
          </c:tx>
          <c:spPr>
            <a:solidFill>
              <a:schemeClr val="accent1"/>
            </a:solidFill>
            <a:ln>
              <a:noFill/>
            </a:ln>
            <a:effectLst/>
          </c:spPr>
          <c:invertIfNegative val="0"/>
          <c:cat>
            <c:strLit>
              <c:ptCount val="5"/>
              <c:pt idx="0">
                <c:v>2 loops</c:v>
              </c:pt>
              <c:pt idx="1">
                <c:v>4 loops</c:v>
              </c:pt>
              <c:pt idx="2">
                <c:v>8 loops</c:v>
              </c:pt>
              <c:pt idx="3">
                <c:v>10 loops</c:v>
              </c:pt>
              <c:pt idx="4">
                <c:v>14 loops</c:v>
              </c:pt>
            </c:strLit>
          </c:cat>
          <c:val>
            <c:numRef>
              <c:f>'E12-E21 Comparison'!$F$3:$F$7</c:f>
              <c:numCache>
                <c:formatCode>0.0</c:formatCode>
                <c:ptCount val="5"/>
                <c:pt idx="0">
                  <c:v>553253</c:v>
                </c:pt>
                <c:pt idx="1">
                  <c:v>523247.05</c:v>
                </c:pt>
                <c:pt idx="2">
                  <c:v>400658.6875</c:v>
                </c:pt>
                <c:pt idx="3">
                  <c:v>322129.54000000004</c:v>
                </c:pt>
                <c:pt idx="4">
                  <c:v>233599.98571428572</c:v>
                </c:pt>
              </c:numCache>
            </c:numRef>
          </c:val>
          <c:extLst>
            <c:ext xmlns:c16="http://schemas.microsoft.com/office/drawing/2014/chart" uri="{C3380CC4-5D6E-409C-BE32-E72D297353CC}">
              <c16:uniqueId val="{00000000-2282-4BBC-AE51-2CEE79B1D193}"/>
            </c:ext>
          </c:extLst>
        </c:ser>
        <c:ser>
          <c:idx val="1"/>
          <c:order val="1"/>
          <c:tx>
            <c:v>For Loops (INLN)</c:v>
          </c:tx>
          <c:spPr>
            <a:solidFill>
              <a:schemeClr val="accent2"/>
            </a:solidFill>
            <a:ln>
              <a:noFill/>
            </a:ln>
            <a:effectLst/>
          </c:spPr>
          <c:invertIfNegative val="0"/>
          <c:cat>
            <c:strLit>
              <c:ptCount val="5"/>
              <c:pt idx="0">
                <c:v>2 loops</c:v>
              </c:pt>
              <c:pt idx="1">
                <c:v>4 loops</c:v>
              </c:pt>
              <c:pt idx="2">
                <c:v>8 loops</c:v>
              </c:pt>
              <c:pt idx="3">
                <c:v>10 loops</c:v>
              </c:pt>
              <c:pt idx="4">
                <c:v>14 loops</c:v>
              </c:pt>
            </c:strLit>
          </c:cat>
          <c:val>
            <c:numRef>
              <c:f>'E12-E21 Comparison'!$F$8:$F$12</c:f>
              <c:numCache>
                <c:formatCode>0.0</c:formatCode>
                <c:ptCount val="5"/>
                <c:pt idx="0">
                  <c:v>599041.30000000005</c:v>
                </c:pt>
                <c:pt idx="1">
                  <c:v>555325.1</c:v>
                </c:pt>
                <c:pt idx="2">
                  <c:v>434722.07500000001</c:v>
                </c:pt>
                <c:pt idx="3">
                  <c:v>352579.54</c:v>
                </c:pt>
                <c:pt idx="4">
                  <c:v>252633.45714285714</c:v>
                </c:pt>
              </c:numCache>
            </c:numRef>
          </c:val>
          <c:extLst>
            <c:ext xmlns:c16="http://schemas.microsoft.com/office/drawing/2014/chart" uri="{C3380CC4-5D6E-409C-BE32-E72D297353CC}">
              <c16:uniqueId val="{00000001-2282-4BBC-AE51-2CEE79B1D193}"/>
            </c:ext>
          </c:extLst>
        </c:ser>
        <c:ser>
          <c:idx val="2"/>
          <c:order val="2"/>
          <c:tx>
            <c:v>While Loops (SBRTN)</c:v>
          </c:tx>
          <c:spPr>
            <a:solidFill>
              <a:schemeClr val="accent3"/>
            </a:solidFill>
            <a:ln>
              <a:noFill/>
            </a:ln>
            <a:effectLst/>
          </c:spPr>
          <c:invertIfNegative val="0"/>
          <c:cat>
            <c:strLit>
              <c:ptCount val="5"/>
              <c:pt idx="0">
                <c:v>2 loops</c:v>
              </c:pt>
              <c:pt idx="1">
                <c:v>4 loops</c:v>
              </c:pt>
              <c:pt idx="2">
                <c:v>8 loops</c:v>
              </c:pt>
              <c:pt idx="3">
                <c:v>10 loops</c:v>
              </c:pt>
              <c:pt idx="4">
                <c:v>14 loops</c:v>
              </c:pt>
            </c:strLit>
          </c:cat>
          <c:val>
            <c:numRef>
              <c:f>'E12-E21 Comparison'!$F$13:$F$17</c:f>
              <c:numCache>
                <c:formatCode>0.0</c:formatCode>
                <c:ptCount val="5"/>
                <c:pt idx="0">
                  <c:v>554904.5</c:v>
                </c:pt>
                <c:pt idx="1">
                  <c:v>516245.67499999999</c:v>
                </c:pt>
                <c:pt idx="2">
                  <c:v>407304.33750000002</c:v>
                </c:pt>
                <c:pt idx="3">
                  <c:v>333507.29999999993</c:v>
                </c:pt>
                <c:pt idx="4">
                  <c:v>232590.4214285714</c:v>
                </c:pt>
              </c:numCache>
            </c:numRef>
          </c:val>
          <c:extLst>
            <c:ext xmlns:c16="http://schemas.microsoft.com/office/drawing/2014/chart" uri="{C3380CC4-5D6E-409C-BE32-E72D297353CC}">
              <c16:uniqueId val="{00000002-2282-4BBC-AE51-2CEE79B1D193}"/>
            </c:ext>
          </c:extLst>
        </c:ser>
        <c:ser>
          <c:idx val="3"/>
          <c:order val="3"/>
          <c:tx>
            <c:v>While Loops (INLN)</c:v>
          </c:tx>
          <c:spPr>
            <a:solidFill>
              <a:schemeClr val="accent4"/>
            </a:solidFill>
            <a:ln>
              <a:noFill/>
            </a:ln>
            <a:effectLst/>
          </c:spPr>
          <c:invertIfNegative val="0"/>
          <c:cat>
            <c:strLit>
              <c:ptCount val="5"/>
              <c:pt idx="0">
                <c:v>2 loops</c:v>
              </c:pt>
              <c:pt idx="1">
                <c:v>4 loops</c:v>
              </c:pt>
              <c:pt idx="2">
                <c:v>8 loops</c:v>
              </c:pt>
              <c:pt idx="3">
                <c:v>10 loops</c:v>
              </c:pt>
              <c:pt idx="4">
                <c:v>14 loops</c:v>
              </c:pt>
            </c:strLit>
          </c:cat>
          <c:val>
            <c:numRef>
              <c:f>'E12-E21 Comparison'!$F$18:$F$22</c:f>
              <c:numCache>
                <c:formatCode>0.0</c:formatCode>
                <c:ptCount val="5"/>
                <c:pt idx="0">
                  <c:v>598500.05000000005</c:v>
                </c:pt>
                <c:pt idx="1">
                  <c:v>550682.4</c:v>
                </c:pt>
                <c:pt idx="2">
                  <c:v>436758.15</c:v>
                </c:pt>
                <c:pt idx="3">
                  <c:v>353275.04</c:v>
                </c:pt>
                <c:pt idx="4">
                  <c:v>250986.09285714285</c:v>
                </c:pt>
              </c:numCache>
            </c:numRef>
          </c:val>
          <c:extLst>
            <c:ext xmlns:c16="http://schemas.microsoft.com/office/drawing/2014/chart" uri="{C3380CC4-5D6E-409C-BE32-E72D297353CC}">
              <c16:uniqueId val="{00000003-2282-4BBC-AE51-2CEE79B1D193}"/>
            </c:ext>
          </c:extLst>
        </c:ser>
        <c:dLbls>
          <c:showLegendKey val="0"/>
          <c:showVal val="0"/>
          <c:showCatName val="0"/>
          <c:showSerName val="0"/>
          <c:showPercent val="0"/>
          <c:showBubbleSize val="0"/>
        </c:dLbls>
        <c:gapWidth val="219"/>
        <c:overlap val="-27"/>
        <c:axId val="552826111"/>
        <c:axId val="457349423"/>
      </c:barChart>
      <c:catAx>
        <c:axId val="55282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57349423"/>
        <c:crosses val="autoZero"/>
        <c:auto val="1"/>
        <c:lblAlgn val="ctr"/>
        <c:lblOffset val="100"/>
        <c:noMultiLvlLbl val="0"/>
      </c:catAx>
      <c:valAx>
        <c:axId val="457349423"/>
        <c:scaling>
          <c:orientation val="minMax"/>
          <c:max val="6000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282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GB" sz="1800">
                <a:solidFill>
                  <a:schemeClr val="tx1"/>
                </a:solidFill>
              </a:rPr>
              <a:t>Avg.</a:t>
            </a:r>
            <a:r>
              <a:rPr lang="en-GB" sz="1800" baseline="0">
                <a:solidFill>
                  <a:schemeClr val="tx1"/>
                </a:solidFill>
              </a:rPr>
              <a:t> </a:t>
            </a:r>
            <a:r>
              <a:rPr lang="en-GB" sz="1800">
                <a:solidFill>
                  <a:schemeClr val="tx1"/>
                </a:solidFill>
              </a:rPr>
              <a:t>Range Over 10 Runs (lower is better</a:t>
            </a:r>
            <a:r>
              <a:rPr lang="en-GB" sz="1800" baseline="0">
                <a:solidFill>
                  <a:schemeClr val="tx1"/>
                </a:solidFill>
              </a:rPr>
              <a:t>, indicates tighter execution)</a:t>
            </a:r>
            <a:endParaRPr lang="en-GB" sz="1800">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GB"/>
        </a:p>
      </c:txPr>
    </c:title>
    <c:autoTitleDeleted val="0"/>
    <c:plotArea>
      <c:layout/>
      <c:barChart>
        <c:barDir val="col"/>
        <c:grouping val="clustered"/>
        <c:varyColors val="0"/>
        <c:ser>
          <c:idx val="0"/>
          <c:order val="0"/>
          <c:tx>
            <c:v>For Loops (SBRTN)</c:v>
          </c:tx>
          <c:spPr>
            <a:solidFill>
              <a:schemeClr val="accent1"/>
            </a:solidFill>
            <a:ln>
              <a:noFill/>
            </a:ln>
            <a:effectLst/>
          </c:spPr>
          <c:invertIfNegative val="0"/>
          <c:cat>
            <c:strLit>
              <c:ptCount val="5"/>
              <c:pt idx="0">
                <c:v>2 loops</c:v>
              </c:pt>
              <c:pt idx="1">
                <c:v>4 loops</c:v>
              </c:pt>
              <c:pt idx="2">
                <c:v>8 loops</c:v>
              </c:pt>
              <c:pt idx="3">
                <c:v>10 loops</c:v>
              </c:pt>
              <c:pt idx="4">
                <c:v>14 loops</c:v>
              </c:pt>
            </c:strLit>
          </c:cat>
          <c:val>
            <c:numRef>
              <c:f>'E12-E21 Comparison'!$E$3:$E$7</c:f>
              <c:numCache>
                <c:formatCode>0.00%</c:formatCode>
                <c:ptCount val="5"/>
                <c:pt idx="0">
                  <c:v>1.5870356065640853E-3</c:v>
                </c:pt>
                <c:pt idx="1">
                  <c:v>2.9470871978133313E-2</c:v>
                </c:pt>
                <c:pt idx="2">
                  <c:v>4.5096458223425839E-2</c:v>
                </c:pt>
                <c:pt idx="3">
                  <c:v>0.22903793286774046</c:v>
                </c:pt>
                <c:pt idx="4">
                  <c:v>0.23706818137060512</c:v>
                </c:pt>
              </c:numCache>
            </c:numRef>
          </c:val>
          <c:extLst>
            <c:ext xmlns:c16="http://schemas.microsoft.com/office/drawing/2014/chart" uri="{C3380CC4-5D6E-409C-BE32-E72D297353CC}">
              <c16:uniqueId val="{00000000-379C-4C43-B3CD-01EB99060A21}"/>
            </c:ext>
          </c:extLst>
        </c:ser>
        <c:ser>
          <c:idx val="1"/>
          <c:order val="1"/>
          <c:tx>
            <c:v>For Loops (INLN)</c:v>
          </c:tx>
          <c:spPr>
            <a:solidFill>
              <a:schemeClr val="accent2"/>
            </a:solidFill>
            <a:ln>
              <a:noFill/>
            </a:ln>
            <a:effectLst/>
          </c:spPr>
          <c:invertIfNegative val="0"/>
          <c:cat>
            <c:strLit>
              <c:ptCount val="5"/>
              <c:pt idx="0">
                <c:v>2 loops</c:v>
              </c:pt>
              <c:pt idx="1">
                <c:v>4 loops</c:v>
              </c:pt>
              <c:pt idx="2">
                <c:v>8 loops</c:v>
              </c:pt>
              <c:pt idx="3">
                <c:v>10 loops</c:v>
              </c:pt>
              <c:pt idx="4">
                <c:v>14 loops</c:v>
              </c:pt>
            </c:strLit>
          </c:cat>
          <c:val>
            <c:numRef>
              <c:f>'E12-E21 Comparison'!$E$8:$E$12</c:f>
              <c:numCache>
                <c:formatCode>0.00%</c:formatCode>
                <c:ptCount val="5"/>
                <c:pt idx="0">
                  <c:v>1.9364333505224583E-3</c:v>
                </c:pt>
                <c:pt idx="1">
                  <c:v>2.7250207031720642E-2</c:v>
                </c:pt>
                <c:pt idx="2">
                  <c:v>4.8110207007041078E-2</c:v>
                </c:pt>
                <c:pt idx="3">
                  <c:v>0.25049740570195478</c:v>
                </c:pt>
                <c:pt idx="4">
                  <c:v>0.22741905784969174</c:v>
                </c:pt>
              </c:numCache>
            </c:numRef>
          </c:val>
          <c:extLst>
            <c:ext xmlns:c16="http://schemas.microsoft.com/office/drawing/2014/chart" uri="{C3380CC4-5D6E-409C-BE32-E72D297353CC}">
              <c16:uniqueId val="{00000001-379C-4C43-B3CD-01EB99060A21}"/>
            </c:ext>
          </c:extLst>
        </c:ser>
        <c:ser>
          <c:idx val="2"/>
          <c:order val="2"/>
          <c:tx>
            <c:v>While Loops (SBRTN)</c:v>
          </c:tx>
          <c:spPr>
            <a:solidFill>
              <a:schemeClr val="accent3"/>
            </a:solidFill>
            <a:ln>
              <a:noFill/>
            </a:ln>
            <a:effectLst/>
          </c:spPr>
          <c:invertIfNegative val="0"/>
          <c:cat>
            <c:strLit>
              <c:ptCount val="5"/>
              <c:pt idx="0">
                <c:v>2 loops</c:v>
              </c:pt>
              <c:pt idx="1">
                <c:v>4 loops</c:v>
              </c:pt>
              <c:pt idx="2">
                <c:v>8 loops</c:v>
              </c:pt>
              <c:pt idx="3">
                <c:v>10 loops</c:v>
              </c:pt>
              <c:pt idx="4">
                <c:v>14 loops</c:v>
              </c:pt>
            </c:strLit>
          </c:cat>
          <c:val>
            <c:numRef>
              <c:f>'E12-E21 Comparison'!$E$13:$E$17</c:f>
              <c:numCache>
                <c:formatCode>0.00%</c:formatCode>
                <c:ptCount val="5"/>
                <c:pt idx="0">
                  <c:v>8.2222174824533555E-3</c:v>
                </c:pt>
                <c:pt idx="1">
                  <c:v>2.5373805558158314E-2</c:v>
                </c:pt>
                <c:pt idx="2">
                  <c:v>3.9431310765838556E-2</c:v>
                </c:pt>
                <c:pt idx="3">
                  <c:v>0.21379812048626246</c:v>
                </c:pt>
                <c:pt idx="4">
                  <c:v>0.25049714640160053</c:v>
                </c:pt>
              </c:numCache>
            </c:numRef>
          </c:val>
          <c:extLst>
            <c:ext xmlns:c16="http://schemas.microsoft.com/office/drawing/2014/chart" uri="{C3380CC4-5D6E-409C-BE32-E72D297353CC}">
              <c16:uniqueId val="{00000002-379C-4C43-B3CD-01EB99060A21}"/>
            </c:ext>
          </c:extLst>
        </c:ser>
        <c:ser>
          <c:idx val="3"/>
          <c:order val="3"/>
          <c:tx>
            <c:v>While Loops (INLN)</c:v>
          </c:tx>
          <c:spPr>
            <a:solidFill>
              <a:schemeClr val="accent4"/>
            </a:solidFill>
            <a:ln>
              <a:noFill/>
            </a:ln>
            <a:effectLst/>
          </c:spPr>
          <c:invertIfNegative val="0"/>
          <c:cat>
            <c:strLit>
              <c:ptCount val="5"/>
              <c:pt idx="0">
                <c:v>2 loops</c:v>
              </c:pt>
              <c:pt idx="1">
                <c:v>4 loops</c:v>
              </c:pt>
              <c:pt idx="2">
                <c:v>8 loops</c:v>
              </c:pt>
              <c:pt idx="3">
                <c:v>10 loops</c:v>
              </c:pt>
              <c:pt idx="4">
                <c:v>14 loops</c:v>
              </c:pt>
            </c:strLit>
          </c:cat>
          <c:val>
            <c:numRef>
              <c:f>'E12-E21 Comparison'!$E$18:$E$22</c:f>
              <c:numCache>
                <c:formatCode>0.00%</c:formatCode>
                <c:ptCount val="5"/>
                <c:pt idx="0">
                  <c:v>2.8745809030297918E-3</c:v>
                </c:pt>
                <c:pt idx="1">
                  <c:v>1.5701552268523631E-2</c:v>
                </c:pt>
                <c:pt idx="2">
                  <c:v>4.2710127983835791E-2</c:v>
                </c:pt>
                <c:pt idx="3">
                  <c:v>0.21009178729995362</c:v>
                </c:pt>
                <c:pt idx="4">
                  <c:v>0.24613451487885868</c:v>
                </c:pt>
              </c:numCache>
            </c:numRef>
          </c:val>
          <c:extLst>
            <c:ext xmlns:c16="http://schemas.microsoft.com/office/drawing/2014/chart" uri="{C3380CC4-5D6E-409C-BE32-E72D297353CC}">
              <c16:uniqueId val="{00000003-379C-4C43-B3CD-01EB99060A21}"/>
            </c:ext>
          </c:extLst>
        </c:ser>
        <c:dLbls>
          <c:showLegendKey val="0"/>
          <c:showVal val="0"/>
          <c:showCatName val="0"/>
          <c:showSerName val="0"/>
          <c:showPercent val="0"/>
          <c:showBubbleSize val="0"/>
        </c:dLbls>
        <c:gapWidth val="219"/>
        <c:overlap val="-27"/>
        <c:axId val="552826111"/>
        <c:axId val="457349423"/>
      </c:barChart>
      <c:catAx>
        <c:axId val="55282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57349423"/>
        <c:crosses val="autoZero"/>
        <c:auto val="1"/>
        <c:lblAlgn val="ctr"/>
        <c:lblOffset val="100"/>
        <c:noMultiLvlLbl val="0"/>
      </c:catAx>
      <c:valAx>
        <c:axId val="457349423"/>
        <c:scaling>
          <c:orientation val="minMax"/>
          <c:max val="0.4"/>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282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GB" sz="1800">
                <a:solidFill>
                  <a:schemeClr val="tx1"/>
                </a:solidFill>
              </a:rPr>
              <a:t>Largest Range Over 10 Runs (lower is better, indicates</a:t>
            </a:r>
            <a:r>
              <a:rPr lang="en-GB" sz="1800" baseline="0">
                <a:solidFill>
                  <a:schemeClr val="tx1"/>
                </a:solidFill>
              </a:rPr>
              <a:t> tighter execution)</a:t>
            </a:r>
            <a:endParaRPr lang="en-GB" sz="1800">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GB"/>
        </a:p>
      </c:txPr>
    </c:title>
    <c:autoTitleDeleted val="0"/>
    <c:plotArea>
      <c:layout/>
      <c:barChart>
        <c:barDir val="col"/>
        <c:grouping val="clustered"/>
        <c:varyColors val="0"/>
        <c:ser>
          <c:idx val="0"/>
          <c:order val="0"/>
          <c:tx>
            <c:v>For Loops (SBRTN)</c:v>
          </c:tx>
          <c:spPr>
            <a:solidFill>
              <a:schemeClr val="accent1"/>
            </a:solidFill>
            <a:ln>
              <a:noFill/>
            </a:ln>
            <a:effectLst/>
          </c:spPr>
          <c:invertIfNegative val="0"/>
          <c:cat>
            <c:strLit>
              <c:ptCount val="5"/>
              <c:pt idx="0">
                <c:v>2 loops</c:v>
              </c:pt>
              <c:pt idx="1">
                <c:v>4 loops</c:v>
              </c:pt>
              <c:pt idx="2">
                <c:v>8 loops</c:v>
              </c:pt>
              <c:pt idx="3">
                <c:v>10 loops</c:v>
              </c:pt>
              <c:pt idx="4">
                <c:v>14 loops</c:v>
              </c:pt>
            </c:strLit>
          </c:cat>
          <c:val>
            <c:numRef>
              <c:f>'E12-E21 Comparison'!$D$3:$D$7</c:f>
              <c:numCache>
                <c:formatCode>0.00%</c:formatCode>
                <c:ptCount val="5"/>
                <c:pt idx="0">
                  <c:v>2.683588835982078E-3</c:v>
                </c:pt>
                <c:pt idx="1">
                  <c:v>8.0721339630742808E-2</c:v>
                </c:pt>
                <c:pt idx="2">
                  <c:v>5.1565187832840614E-2</c:v>
                </c:pt>
                <c:pt idx="3">
                  <c:v>0.28496244956271599</c:v>
                </c:pt>
                <c:pt idx="4">
                  <c:v>0.28984137242513541</c:v>
                </c:pt>
              </c:numCache>
            </c:numRef>
          </c:val>
          <c:extLst>
            <c:ext xmlns:c16="http://schemas.microsoft.com/office/drawing/2014/chart" uri="{C3380CC4-5D6E-409C-BE32-E72D297353CC}">
              <c16:uniqueId val="{00000000-3888-46C9-B132-59368EAA6114}"/>
            </c:ext>
          </c:extLst>
        </c:ser>
        <c:ser>
          <c:idx val="1"/>
          <c:order val="1"/>
          <c:tx>
            <c:v>For Loops (INLN)</c:v>
          </c:tx>
          <c:spPr>
            <a:solidFill>
              <a:schemeClr val="accent2"/>
            </a:solidFill>
            <a:ln>
              <a:noFill/>
            </a:ln>
            <a:effectLst/>
          </c:spPr>
          <c:invertIfNegative val="0"/>
          <c:cat>
            <c:strLit>
              <c:ptCount val="5"/>
              <c:pt idx="0">
                <c:v>2 loops</c:v>
              </c:pt>
              <c:pt idx="1">
                <c:v>4 loops</c:v>
              </c:pt>
              <c:pt idx="2">
                <c:v>8 loops</c:v>
              </c:pt>
              <c:pt idx="3">
                <c:v>10 loops</c:v>
              </c:pt>
              <c:pt idx="4">
                <c:v>14 loops</c:v>
              </c:pt>
            </c:strLit>
          </c:cat>
          <c:val>
            <c:numRef>
              <c:f>'E12-E21 Comparison'!$D$8:$D$12</c:f>
              <c:numCache>
                <c:formatCode>0.00%</c:formatCode>
                <c:ptCount val="5"/>
                <c:pt idx="0">
                  <c:v>4.2698174122277862E-3</c:v>
                </c:pt>
                <c:pt idx="1">
                  <c:v>6.7044173480362304E-2</c:v>
                </c:pt>
                <c:pt idx="2">
                  <c:v>5.9122182340958535E-2</c:v>
                </c:pt>
                <c:pt idx="3">
                  <c:v>0.37688617439452216</c:v>
                </c:pt>
                <c:pt idx="4">
                  <c:v>0.28404667499502112</c:v>
                </c:pt>
              </c:numCache>
            </c:numRef>
          </c:val>
          <c:extLst>
            <c:ext xmlns:c16="http://schemas.microsoft.com/office/drawing/2014/chart" uri="{C3380CC4-5D6E-409C-BE32-E72D297353CC}">
              <c16:uniqueId val="{00000001-3888-46C9-B132-59368EAA6114}"/>
            </c:ext>
          </c:extLst>
        </c:ser>
        <c:ser>
          <c:idx val="2"/>
          <c:order val="2"/>
          <c:tx>
            <c:v>While Loops (SBRTN)</c:v>
          </c:tx>
          <c:spPr>
            <a:solidFill>
              <a:schemeClr val="accent3"/>
            </a:solidFill>
            <a:ln>
              <a:noFill/>
            </a:ln>
            <a:effectLst/>
          </c:spPr>
          <c:invertIfNegative val="0"/>
          <c:cat>
            <c:strLit>
              <c:ptCount val="5"/>
              <c:pt idx="0">
                <c:v>2 loops</c:v>
              </c:pt>
              <c:pt idx="1">
                <c:v>4 loops</c:v>
              </c:pt>
              <c:pt idx="2">
                <c:v>8 loops</c:v>
              </c:pt>
              <c:pt idx="3">
                <c:v>10 loops</c:v>
              </c:pt>
              <c:pt idx="4">
                <c:v>14 loops</c:v>
              </c:pt>
            </c:strLit>
          </c:cat>
          <c:val>
            <c:numRef>
              <c:f>'E12-E21 Comparison'!$D$13:$D$17</c:f>
              <c:numCache>
                <c:formatCode>0.00%</c:formatCode>
                <c:ptCount val="5"/>
                <c:pt idx="0">
                  <c:v>2.0677968591078164E-2</c:v>
                </c:pt>
                <c:pt idx="1">
                  <c:v>4.2908014796547475E-2</c:v>
                </c:pt>
                <c:pt idx="2">
                  <c:v>5.1450938392492859E-2</c:v>
                </c:pt>
                <c:pt idx="3">
                  <c:v>0.35427893741678756</c:v>
                </c:pt>
                <c:pt idx="4">
                  <c:v>0.34030815867563619</c:v>
                </c:pt>
              </c:numCache>
            </c:numRef>
          </c:val>
          <c:extLst>
            <c:ext xmlns:c16="http://schemas.microsoft.com/office/drawing/2014/chart" uri="{C3380CC4-5D6E-409C-BE32-E72D297353CC}">
              <c16:uniqueId val="{00000002-3888-46C9-B132-59368EAA6114}"/>
            </c:ext>
          </c:extLst>
        </c:ser>
        <c:ser>
          <c:idx val="3"/>
          <c:order val="3"/>
          <c:tx>
            <c:v>While Loops (INLN)</c:v>
          </c:tx>
          <c:spPr>
            <a:solidFill>
              <a:schemeClr val="accent4"/>
            </a:solidFill>
            <a:ln>
              <a:noFill/>
            </a:ln>
            <a:effectLst/>
          </c:spPr>
          <c:invertIfNegative val="0"/>
          <c:cat>
            <c:strLit>
              <c:ptCount val="5"/>
              <c:pt idx="0">
                <c:v>2 loops</c:v>
              </c:pt>
              <c:pt idx="1">
                <c:v>4 loops</c:v>
              </c:pt>
              <c:pt idx="2">
                <c:v>8 loops</c:v>
              </c:pt>
              <c:pt idx="3">
                <c:v>10 loops</c:v>
              </c:pt>
              <c:pt idx="4">
                <c:v>14 loops</c:v>
              </c:pt>
            </c:strLit>
          </c:cat>
          <c:val>
            <c:numRef>
              <c:f>'E12-E21 Comparison'!$D$18:$D$22</c:f>
              <c:numCache>
                <c:formatCode>0.00%</c:formatCode>
                <c:ptCount val="5"/>
                <c:pt idx="0">
                  <c:v>9.2563178847336648E-3</c:v>
                </c:pt>
                <c:pt idx="1">
                  <c:v>2.0153208515833874E-2</c:v>
                </c:pt>
                <c:pt idx="2">
                  <c:v>5.723171162681117E-2</c:v>
                </c:pt>
                <c:pt idx="3">
                  <c:v>0.31256794732415744</c:v>
                </c:pt>
                <c:pt idx="4">
                  <c:v>0.33646797882987262</c:v>
                </c:pt>
              </c:numCache>
            </c:numRef>
          </c:val>
          <c:extLst>
            <c:ext xmlns:c16="http://schemas.microsoft.com/office/drawing/2014/chart" uri="{C3380CC4-5D6E-409C-BE32-E72D297353CC}">
              <c16:uniqueId val="{00000003-3888-46C9-B132-59368EAA6114}"/>
            </c:ext>
          </c:extLst>
        </c:ser>
        <c:dLbls>
          <c:showLegendKey val="0"/>
          <c:showVal val="0"/>
          <c:showCatName val="0"/>
          <c:showSerName val="0"/>
          <c:showPercent val="0"/>
          <c:showBubbleSize val="0"/>
        </c:dLbls>
        <c:gapWidth val="219"/>
        <c:overlap val="-27"/>
        <c:axId val="552826111"/>
        <c:axId val="457349423"/>
      </c:barChart>
      <c:catAx>
        <c:axId val="55282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57349423"/>
        <c:crosses val="autoZero"/>
        <c:auto val="1"/>
        <c:lblAlgn val="ctr"/>
        <c:lblOffset val="100"/>
        <c:noMultiLvlLbl val="0"/>
      </c:catAx>
      <c:valAx>
        <c:axId val="457349423"/>
        <c:scaling>
          <c:orientation val="minMax"/>
          <c:max val="0.4"/>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282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GB" sz="1800">
                <a:solidFill>
                  <a:schemeClr val="tx1"/>
                </a:solidFill>
              </a:rPr>
              <a:t>Smallest Range Over 10 Runs (lower is better, indicates</a:t>
            </a:r>
            <a:r>
              <a:rPr lang="en-GB" sz="1800" baseline="0">
                <a:solidFill>
                  <a:schemeClr val="tx1"/>
                </a:solidFill>
              </a:rPr>
              <a:t> tighter execution)</a:t>
            </a:r>
            <a:endParaRPr lang="en-GB" sz="1800">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GB"/>
        </a:p>
      </c:txPr>
    </c:title>
    <c:autoTitleDeleted val="0"/>
    <c:plotArea>
      <c:layout/>
      <c:barChart>
        <c:barDir val="col"/>
        <c:grouping val="clustered"/>
        <c:varyColors val="0"/>
        <c:ser>
          <c:idx val="0"/>
          <c:order val="0"/>
          <c:tx>
            <c:v>For Loops (SBRTN)</c:v>
          </c:tx>
          <c:spPr>
            <a:solidFill>
              <a:schemeClr val="accent1"/>
            </a:solidFill>
            <a:ln>
              <a:noFill/>
            </a:ln>
            <a:effectLst/>
          </c:spPr>
          <c:invertIfNegative val="0"/>
          <c:cat>
            <c:strLit>
              <c:ptCount val="5"/>
              <c:pt idx="0">
                <c:v>2 loops</c:v>
              </c:pt>
              <c:pt idx="1">
                <c:v>4 loops</c:v>
              </c:pt>
              <c:pt idx="2">
                <c:v>8 loops</c:v>
              </c:pt>
              <c:pt idx="3">
                <c:v>10 loops</c:v>
              </c:pt>
              <c:pt idx="4">
                <c:v>14 loops</c:v>
              </c:pt>
            </c:strLit>
          </c:cat>
          <c:val>
            <c:numRef>
              <c:f>'E12-E21 Comparison'!$C$3:$C$7</c:f>
              <c:numCache>
                <c:formatCode>0.00%</c:formatCode>
                <c:ptCount val="5"/>
                <c:pt idx="0">
                  <c:v>2.5783021143918985E-4</c:v>
                </c:pt>
                <c:pt idx="1">
                  <c:v>5.6602298789217922E-3</c:v>
                </c:pt>
                <c:pt idx="2">
                  <c:v>3.5970607230953189E-2</c:v>
                </c:pt>
                <c:pt idx="3">
                  <c:v>0.14625951180946734</c:v>
                </c:pt>
                <c:pt idx="4">
                  <c:v>0.13810400601756354</c:v>
                </c:pt>
              </c:numCache>
            </c:numRef>
          </c:val>
          <c:extLst>
            <c:ext xmlns:c16="http://schemas.microsoft.com/office/drawing/2014/chart" uri="{C3380CC4-5D6E-409C-BE32-E72D297353CC}">
              <c16:uniqueId val="{00000000-757F-4F91-A0D8-8D19E67A6F5F}"/>
            </c:ext>
          </c:extLst>
        </c:ser>
        <c:ser>
          <c:idx val="1"/>
          <c:order val="1"/>
          <c:tx>
            <c:v>For Loops (INLN)</c:v>
          </c:tx>
          <c:spPr>
            <a:solidFill>
              <a:schemeClr val="accent2"/>
            </a:solidFill>
            <a:ln>
              <a:noFill/>
            </a:ln>
            <a:effectLst/>
          </c:spPr>
          <c:invertIfNegative val="0"/>
          <c:cat>
            <c:strLit>
              <c:ptCount val="5"/>
              <c:pt idx="0">
                <c:v>2 loops</c:v>
              </c:pt>
              <c:pt idx="1">
                <c:v>4 loops</c:v>
              </c:pt>
              <c:pt idx="2">
                <c:v>8 loops</c:v>
              </c:pt>
              <c:pt idx="3">
                <c:v>10 loops</c:v>
              </c:pt>
              <c:pt idx="4">
                <c:v>14 loops</c:v>
              </c:pt>
            </c:strLit>
          </c:cat>
          <c:val>
            <c:numRef>
              <c:f>'E12-E21 Comparison'!$C$8:$C$12</c:f>
              <c:numCache>
                <c:formatCode>0.00%</c:formatCode>
                <c:ptCount val="5"/>
                <c:pt idx="0">
                  <c:v>2.0767268148284888E-4</c:v>
                </c:pt>
                <c:pt idx="1">
                  <c:v>1.0218692340874407E-2</c:v>
                </c:pt>
                <c:pt idx="2">
                  <c:v>4.0084283881296277E-2</c:v>
                </c:pt>
                <c:pt idx="3">
                  <c:v>0.16381005300051291</c:v>
                </c:pt>
                <c:pt idx="4">
                  <c:v>0.17954395284624708</c:v>
                </c:pt>
              </c:numCache>
            </c:numRef>
          </c:val>
          <c:extLst>
            <c:ext xmlns:c16="http://schemas.microsoft.com/office/drawing/2014/chart" uri="{C3380CC4-5D6E-409C-BE32-E72D297353CC}">
              <c16:uniqueId val="{00000001-757F-4F91-A0D8-8D19E67A6F5F}"/>
            </c:ext>
          </c:extLst>
        </c:ser>
        <c:ser>
          <c:idx val="2"/>
          <c:order val="2"/>
          <c:tx>
            <c:v>While Loops (SBRTN)</c:v>
          </c:tx>
          <c:spPr>
            <a:solidFill>
              <a:schemeClr val="accent3"/>
            </a:solidFill>
            <a:ln>
              <a:noFill/>
            </a:ln>
            <a:effectLst/>
          </c:spPr>
          <c:invertIfNegative val="0"/>
          <c:cat>
            <c:strLit>
              <c:ptCount val="5"/>
              <c:pt idx="0">
                <c:v>2 loops</c:v>
              </c:pt>
              <c:pt idx="1">
                <c:v>4 loops</c:v>
              </c:pt>
              <c:pt idx="2">
                <c:v>8 loops</c:v>
              </c:pt>
              <c:pt idx="3">
                <c:v>10 loops</c:v>
              </c:pt>
              <c:pt idx="4">
                <c:v>14 loops</c:v>
              </c:pt>
            </c:strLit>
          </c:cat>
          <c:val>
            <c:numRef>
              <c:f>'E12-E21 Comparison'!$C$13:$C$17</c:f>
              <c:numCache>
                <c:formatCode>0.00%</c:formatCode>
                <c:ptCount val="5"/>
                <c:pt idx="0">
                  <c:v>5.0005000500050007E-5</c:v>
                </c:pt>
                <c:pt idx="1">
                  <c:v>1.134667122840303E-2</c:v>
                </c:pt>
                <c:pt idx="2">
                  <c:v>2.7213303736770458E-2</c:v>
                </c:pt>
                <c:pt idx="3">
                  <c:v>0.13963253171157872</c:v>
                </c:pt>
                <c:pt idx="4">
                  <c:v>0.1887754127178233</c:v>
                </c:pt>
              </c:numCache>
            </c:numRef>
          </c:val>
          <c:extLst>
            <c:ext xmlns:c16="http://schemas.microsoft.com/office/drawing/2014/chart" uri="{C3380CC4-5D6E-409C-BE32-E72D297353CC}">
              <c16:uniqueId val="{00000002-757F-4F91-A0D8-8D19E67A6F5F}"/>
            </c:ext>
          </c:extLst>
        </c:ser>
        <c:ser>
          <c:idx val="3"/>
          <c:order val="3"/>
          <c:tx>
            <c:v>While Loops (INLN)</c:v>
          </c:tx>
          <c:spPr>
            <a:solidFill>
              <a:schemeClr val="accent4"/>
            </a:solidFill>
            <a:ln>
              <a:noFill/>
            </a:ln>
            <a:effectLst/>
          </c:spPr>
          <c:invertIfNegative val="0"/>
          <c:cat>
            <c:strLit>
              <c:ptCount val="5"/>
              <c:pt idx="0">
                <c:v>2 loops</c:v>
              </c:pt>
              <c:pt idx="1">
                <c:v>4 loops</c:v>
              </c:pt>
              <c:pt idx="2">
                <c:v>8 loops</c:v>
              </c:pt>
              <c:pt idx="3">
                <c:v>10 loops</c:v>
              </c:pt>
              <c:pt idx="4">
                <c:v>14 loops</c:v>
              </c:pt>
            </c:strLit>
          </c:cat>
          <c:val>
            <c:numRef>
              <c:f>'E12-E21 Comparison'!$C$18:$C$22</c:f>
              <c:numCache>
                <c:formatCode>0.00%</c:formatCode>
                <c:ptCount val="5"/>
                <c:pt idx="0">
                  <c:v>3.6232187937700766E-4</c:v>
                </c:pt>
                <c:pt idx="1">
                  <c:v>8.085121085872133E-3</c:v>
                </c:pt>
                <c:pt idx="2">
                  <c:v>2.887777489443016E-2</c:v>
                </c:pt>
                <c:pt idx="3">
                  <c:v>0.13469041906403598</c:v>
                </c:pt>
                <c:pt idx="4">
                  <c:v>0.18460770049295316</c:v>
                </c:pt>
              </c:numCache>
            </c:numRef>
          </c:val>
          <c:extLst>
            <c:ext xmlns:c16="http://schemas.microsoft.com/office/drawing/2014/chart" uri="{C3380CC4-5D6E-409C-BE32-E72D297353CC}">
              <c16:uniqueId val="{00000003-757F-4F91-A0D8-8D19E67A6F5F}"/>
            </c:ext>
          </c:extLst>
        </c:ser>
        <c:dLbls>
          <c:showLegendKey val="0"/>
          <c:showVal val="0"/>
          <c:showCatName val="0"/>
          <c:showSerName val="0"/>
          <c:showPercent val="0"/>
          <c:showBubbleSize val="0"/>
        </c:dLbls>
        <c:gapWidth val="219"/>
        <c:overlap val="-27"/>
        <c:axId val="552826111"/>
        <c:axId val="457349423"/>
      </c:barChart>
      <c:catAx>
        <c:axId val="55282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57349423"/>
        <c:crosses val="autoZero"/>
        <c:auto val="1"/>
        <c:lblAlgn val="ctr"/>
        <c:lblOffset val="100"/>
        <c:noMultiLvlLbl val="0"/>
      </c:catAx>
      <c:valAx>
        <c:axId val="457349423"/>
        <c:scaling>
          <c:orientation val="minMax"/>
          <c:max val="0.4"/>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282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3</xdr:col>
      <xdr:colOff>161925</xdr:colOff>
      <xdr:row>3</xdr:row>
      <xdr:rowOff>85725</xdr:rowOff>
    </xdr:from>
    <xdr:to>
      <xdr:col>18</xdr:col>
      <xdr:colOff>51276</xdr:colOff>
      <xdr:row>36</xdr:row>
      <xdr:rowOff>69209</xdr:rowOff>
    </xdr:to>
    <xdr:pic>
      <xdr:nvPicPr>
        <xdr:cNvPr id="3" name="Picture 2">
          <a:extLst>
            <a:ext uri="{FF2B5EF4-FFF2-40B4-BE49-F238E27FC236}">
              <a16:creationId xmlns:a16="http://schemas.microsoft.com/office/drawing/2014/main" id="{81CF632A-7DDB-9444-FA42-7BAF49DF91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33900" y="990600"/>
          <a:ext cx="9033351" cy="6269984"/>
        </a:xfrm>
        <a:prstGeom prst="rect">
          <a:avLst/>
        </a:prstGeom>
      </xdr:spPr>
    </xdr:pic>
    <xdr:clientData/>
  </xdr:twoCellAnchor>
  <xdr:twoCellAnchor editAs="oneCell">
    <xdr:from>
      <xdr:col>0</xdr:col>
      <xdr:colOff>47625</xdr:colOff>
      <xdr:row>3</xdr:row>
      <xdr:rowOff>85725</xdr:rowOff>
    </xdr:from>
    <xdr:to>
      <xdr:col>2</xdr:col>
      <xdr:colOff>605250</xdr:colOff>
      <xdr:row>26</xdr:row>
      <xdr:rowOff>104889</xdr:rowOff>
    </xdr:to>
    <xdr:pic>
      <xdr:nvPicPr>
        <xdr:cNvPr id="5" name="Picture 4">
          <a:extLst>
            <a:ext uri="{FF2B5EF4-FFF2-40B4-BE49-F238E27FC236}">
              <a16:creationId xmlns:a16="http://schemas.microsoft.com/office/drawing/2014/main" id="{FB371432-A09A-6503-FAAD-FEF711A308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625" y="990600"/>
          <a:ext cx="4320000" cy="4400664"/>
        </a:xfrm>
        <a:prstGeom prst="rect">
          <a:avLst/>
        </a:prstGeom>
        <a:ln>
          <a:solidFill>
            <a:schemeClr val="bg1">
              <a:lumMod val="50000"/>
            </a:schemeClr>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2</xdr:row>
      <xdr:rowOff>66675</xdr:rowOff>
    </xdr:from>
    <xdr:to>
      <xdr:col>3</xdr:col>
      <xdr:colOff>505684</xdr:colOff>
      <xdr:row>21</xdr:row>
      <xdr:rowOff>124338</xdr:rowOff>
    </xdr:to>
    <xdr:pic>
      <xdr:nvPicPr>
        <xdr:cNvPr id="5" name="Picture 4">
          <a:extLst>
            <a:ext uri="{FF2B5EF4-FFF2-40B4-BE49-F238E27FC236}">
              <a16:creationId xmlns:a16="http://schemas.microsoft.com/office/drawing/2014/main" id="{DDA5ABD9-E0B1-DE3B-3366-488B8593D1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590550"/>
          <a:ext cx="6154009" cy="3677163"/>
        </a:xfrm>
        <a:prstGeom prst="rect">
          <a:avLst/>
        </a:prstGeom>
      </xdr:spPr>
    </xdr:pic>
    <xdr:clientData/>
  </xdr:twoCellAnchor>
  <xdr:twoCellAnchor editAs="oneCell">
    <xdr:from>
      <xdr:col>0</xdr:col>
      <xdr:colOff>57150</xdr:colOff>
      <xdr:row>24</xdr:row>
      <xdr:rowOff>47625</xdr:rowOff>
    </xdr:from>
    <xdr:to>
      <xdr:col>3</xdr:col>
      <xdr:colOff>505684</xdr:colOff>
      <xdr:row>43</xdr:row>
      <xdr:rowOff>105288</xdr:rowOff>
    </xdr:to>
    <xdr:pic>
      <xdr:nvPicPr>
        <xdr:cNvPr id="7" name="Picture 6">
          <a:extLst>
            <a:ext uri="{FF2B5EF4-FFF2-40B4-BE49-F238E27FC236}">
              <a16:creationId xmlns:a16="http://schemas.microsoft.com/office/drawing/2014/main" id="{97ADC1AB-B74A-330D-6931-2EF08BC0C6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 y="4762500"/>
          <a:ext cx="6154009" cy="3677163"/>
        </a:xfrm>
        <a:prstGeom prst="rect">
          <a:avLst/>
        </a:prstGeom>
      </xdr:spPr>
    </xdr:pic>
    <xdr:clientData/>
  </xdr:twoCellAnchor>
  <xdr:twoCellAnchor editAs="oneCell">
    <xdr:from>
      <xdr:col>0</xdr:col>
      <xdr:colOff>57150</xdr:colOff>
      <xdr:row>46</xdr:row>
      <xdr:rowOff>47625</xdr:rowOff>
    </xdr:from>
    <xdr:to>
      <xdr:col>3</xdr:col>
      <xdr:colOff>505684</xdr:colOff>
      <xdr:row>65</xdr:row>
      <xdr:rowOff>105288</xdr:rowOff>
    </xdr:to>
    <xdr:pic>
      <xdr:nvPicPr>
        <xdr:cNvPr id="9" name="Picture 8">
          <a:extLst>
            <a:ext uri="{FF2B5EF4-FFF2-40B4-BE49-F238E27FC236}">
              <a16:creationId xmlns:a16="http://schemas.microsoft.com/office/drawing/2014/main" id="{C7EA3A17-2647-9EBE-EF67-0D31104A79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7150" y="8953500"/>
          <a:ext cx="6154009" cy="36771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238125</xdr:colOff>
      <xdr:row>0</xdr:row>
      <xdr:rowOff>200025</xdr:rowOff>
    </xdr:from>
    <xdr:to>
      <xdr:col>21</xdr:col>
      <xdr:colOff>523200</xdr:colOff>
      <xdr:row>12</xdr:row>
      <xdr:rowOff>108858</xdr:rowOff>
    </xdr:to>
    <xdr:sp macro="" textlink="">
      <xdr:nvSpPr>
        <xdr:cNvPr id="2" name="TextBox 1">
          <a:extLst>
            <a:ext uri="{FF2B5EF4-FFF2-40B4-BE49-F238E27FC236}">
              <a16:creationId xmlns:a16="http://schemas.microsoft.com/office/drawing/2014/main" id="{5A1A0DD3-5E83-4215-9327-3A9DE14BC8E1}"/>
            </a:ext>
          </a:extLst>
        </xdr:cNvPr>
        <xdr:cNvSpPr txBox="1"/>
      </xdr:nvSpPr>
      <xdr:spPr>
        <a:xfrm>
          <a:off x="16764000" y="200025"/>
          <a:ext cx="6190575" cy="2909208"/>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1.vi</a:t>
          </a:r>
        </a:p>
        <a:p>
          <a:r>
            <a:rPr lang="en-GB" sz="1100">
              <a:latin typeface="Aptos Narrow" panose="020B0004020202020204" pitchFamily="34" charset="0"/>
            </a:rPr>
            <a:t>Machine: Surface Laptop 4</a:t>
          </a:r>
        </a:p>
        <a:p>
          <a:r>
            <a:rPr lang="en-GB" sz="1100">
              <a:latin typeface="Aptos Narrow" panose="020B0004020202020204" pitchFamily="34" charset="0"/>
            </a:rPr>
            <a:t>Date: 07 and 08 September 2026</a:t>
          </a:r>
        </a:p>
        <a:p>
          <a:endParaRPr lang="en-GB" sz="1100">
            <a:latin typeface="Aptos Narrow" panose="020B0004020202020204" pitchFamily="34" charset="0"/>
          </a:endParaRPr>
        </a:p>
        <a:p>
          <a:r>
            <a:rPr lang="en-GB" sz="1100">
              <a:latin typeface="Aptos Narrow" panose="020B0004020202020204" pitchFamily="34" charset="0"/>
            </a:rPr>
            <a:t>Experiment 1. For loop: 1 million iterations.</a:t>
          </a:r>
          <a:r>
            <a:rPr lang="en-GB" sz="1100" baseline="0">
              <a:latin typeface="Aptos Narrow" panose="020B0004020202020204" pitchFamily="34" charset="0"/>
            </a:rPr>
            <a:t> Between each chunk of 5 runs, went to the block diagram and enabled the other case of the Diagram Disable Structure. Then, ran 5 runs without recording the results. Then ran another 5 runs and recorded those results.</a:t>
          </a:r>
        </a:p>
        <a:p>
          <a:endParaRPr lang="en-GB" sz="1100" baseline="0">
            <a:latin typeface="Aptos Narrow" panose="020B0004020202020204" pitchFamily="34" charset="0"/>
          </a:endParaRPr>
        </a:p>
        <a:p>
          <a:r>
            <a:rPr lang="en-GB" sz="1100" baseline="0">
              <a:solidFill>
                <a:schemeClr val="dk1"/>
              </a:solidFill>
              <a:effectLst/>
              <a:latin typeface="+mn-lt"/>
              <a:ea typeface="+mn-ea"/>
              <a:cs typeface="+mn-cs"/>
            </a:rPr>
            <a:t>Results analysis: SCR is more performant than NR. PCR is more performant still.</a:t>
          </a:r>
          <a:endParaRPr lang="en-GB" sz="1100" baseline="0">
            <a:latin typeface="Aptos Narrow" panose="020B0004020202020204" pitchFamily="34" charset="0"/>
          </a:endParaRPr>
        </a:p>
        <a:p>
          <a:endParaRPr lang="en-GB" sz="1100" baseline="0">
            <a:latin typeface="Aptos Narrow" panose="020B0004020202020204" pitchFamily="34" charset="0"/>
          </a:endParaRPr>
        </a:p>
        <a:p>
          <a:r>
            <a:rPr lang="en-GB" sz="1100" baseline="0">
              <a:latin typeface="Aptos Narrow" panose="020B0004020202020204" pitchFamily="34" charset="0"/>
            </a:rPr>
            <a:t>NR = Non-Reentrant</a:t>
          </a:r>
        </a:p>
        <a:p>
          <a:r>
            <a:rPr lang="en-GB" sz="1100" baseline="0">
              <a:latin typeface="Aptos Narrow" panose="020B0004020202020204" pitchFamily="34" charset="0"/>
            </a:rPr>
            <a:t>SCR = Shared Clone </a:t>
          </a:r>
          <a:r>
            <a:rPr lang="en-GB" sz="1100" baseline="0">
              <a:solidFill>
                <a:schemeClr val="dk1"/>
              </a:solidFill>
              <a:effectLst/>
              <a:latin typeface="+mn-lt"/>
              <a:ea typeface="+mn-ea"/>
              <a:cs typeface="+mn-cs"/>
            </a:rPr>
            <a:t>Reentrant</a:t>
          </a:r>
          <a:endParaRPr lang="en-GB" sz="1100" baseline="0">
            <a:latin typeface="Aptos Narrow" panose="020B0004020202020204" pitchFamily="34" charset="0"/>
          </a:endParaRPr>
        </a:p>
        <a:p>
          <a:r>
            <a:rPr lang="en-GB" sz="1100" baseline="0">
              <a:latin typeface="Aptos Narrow" panose="020B0004020202020204" pitchFamily="34" charset="0"/>
            </a:rPr>
            <a:t>PCR = </a:t>
          </a:r>
          <a:r>
            <a:rPr lang="en-GB" sz="1100" baseline="0">
              <a:solidFill>
                <a:schemeClr val="dk1"/>
              </a:solidFill>
              <a:effectLst/>
              <a:latin typeface="+mn-lt"/>
              <a:ea typeface="+mn-ea"/>
              <a:cs typeface="+mn-cs"/>
            </a:rPr>
            <a:t>Preallocated Clone Reentrant</a:t>
          </a:r>
          <a:endParaRPr lang="en-GB" sz="1100">
            <a:latin typeface="Aptos Narrow" panose="020B0004020202020204" pitchFamily="34" charset="0"/>
          </a:endParaRPr>
        </a:p>
      </xdr:txBody>
    </xdr:sp>
    <xdr:clientData/>
  </xdr:twoCellAnchor>
  <xdr:twoCellAnchor>
    <xdr:from>
      <xdr:col>2</xdr:col>
      <xdr:colOff>671233</xdr:colOff>
      <xdr:row>24</xdr:row>
      <xdr:rowOff>117381</xdr:rowOff>
    </xdr:from>
    <xdr:to>
      <xdr:col>4</xdr:col>
      <xdr:colOff>794586</xdr:colOff>
      <xdr:row>39</xdr:row>
      <xdr:rowOff>3081</xdr:rowOff>
    </xdr:to>
    <xdr:graphicFrame macro="">
      <xdr:nvGraphicFramePr>
        <xdr:cNvPr id="4" name="Chart 3">
          <a:extLst>
            <a:ext uri="{FF2B5EF4-FFF2-40B4-BE49-F238E27FC236}">
              <a16:creationId xmlns:a16="http://schemas.microsoft.com/office/drawing/2014/main" id="{5ECFB88B-E3A1-4426-82F0-6789F9B8C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171449</xdr:colOff>
      <xdr:row>0</xdr:row>
      <xdr:rowOff>200024</xdr:rowOff>
    </xdr:from>
    <xdr:to>
      <xdr:col>34</xdr:col>
      <xdr:colOff>228149</xdr:colOff>
      <xdr:row>60</xdr:row>
      <xdr:rowOff>142875</xdr:rowOff>
    </xdr:to>
    <xdr:sp macro="" textlink="">
      <xdr:nvSpPr>
        <xdr:cNvPr id="5" name="TextBox 4">
          <a:extLst>
            <a:ext uri="{FF2B5EF4-FFF2-40B4-BE49-F238E27FC236}">
              <a16:creationId xmlns:a16="http://schemas.microsoft.com/office/drawing/2014/main" id="{DCA06F2E-A465-4606-B4A9-1BE5E33E590C}"/>
            </a:ext>
          </a:extLst>
        </xdr:cNvPr>
        <xdr:cNvSpPr txBox="1"/>
      </xdr:nvSpPr>
      <xdr:spPr>
        <a:xfrm>
          <a:off x="26736674" y="200024"/>
          <a:ext cx="3600000" cy="13458826"/>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Data Captured For</a:t>
          </a:r>
          <a:r>
            <a:rPr lang="en-GB" sz="1100" b="1" u="sng" baseline="0">
              <a:latin typeface="Aptos Narrow" panose="020B0004020202020204" pitchFamily="34" charset="0"/>
            </a:rPr>
            <a:t> Next Three Columns (Medium VIs)</a:t>
          </a:r>
          <a:endParaRPr lang="en-GB" sz="1100" b="1" u="sng">
            <a:latin typeface="Aptos Narrow" panose="020B0004020202020204" pitchFamily="34" charset="0"/>
          </a:endParaRPr>
        </a:p>
        <a:p>
          <a:r>
            <a:rPr lang="en-GB" sz="1100">
              <a:latin typeface="Aptos Narrow" panose="020B0004020202020204" pitchFamily="34" charset="0"/>
            </a:rPr>
            <a:t>NR</a:t>
          </a:r>
        </a:p>
        <a:p>
          <a:r>
            <a:rPr lang="en-GB" sz="1100">
              <a:latin typeface="Aptos Narrow" panose="020B0004020202020204" pitchFamily="34" charset="0"/>
            </a:rPr>
            <a:t>0.120472</a:t>
          </a:r>
        </a:p>
        <a:p>
          <a:r>
            <a:rPr lang="en-GB" sz="1100">
              <a:latin typeface="Aptos Narrow" panose="020B0004020202020204" pitchFamily="34" charset="0"/>
            </a:rPr>
            <a:t>0.121826</a:t>
          </a:r>
        </a:p>
        <a:p>
          <a:r>
            <a:rPr lang="en-GB" sz="1100">
              <a:latin typeface="Aptos Narrow" panose="020B0004020202020204" pitchFamily="34" charset="0"/>
            </a:rPr>
            <a:t>0.134393</a:t>
          </a:r>
        </a:p>
        <a:p>
          <a:r>
            <a:rPr lang="en-GB" sz="1100">
              <a:latin typeface="Aptos Narrow" panose="020B0004020202020204" pitchFamily="34" charset="0"/>
            </a:rPr>
            <a:t>0.138032</a:t>
          </a:r>
        </a:p>
        <a:p>
          <a:r>
            <a:rPr lang="en-GB" sz="1100">
              <a:latin typeface="Aptos Narrow" panose="020B0004020202020204" pitchFamily="34" charset="0"/>
            </a:rPr>
            <a:t>0.137741</a:t>
          </a:r>
        </a:p>
        <a:p>
          <a:endParaRPr lang="en-GB" sz="1100">
            <a:latin typeface="Aptos Narrow" panose="020B0004020202020204" pitchFamily="34" charset="0"/>
          </a:endParaRPr>
        </a:p>
        <a:p>
          <a:r>
            <a:rPr lang="en-GB" sz="1100">
              <a:solidFill>
                <a:schemeClr val="dk1"/>
              </a:solidFill>
              <a:effectLst/>
              <a:latin typeface="+mn-lt"/>
              <a:ea typeface="+mn-ea"/>
              <a:cs typeface="+mn-cs"/>
            </a:rPr>
            <a:t>SCR</a:t>
          </a:r>
          <a:endParaRPr lang="en-GB">
            <a:effectLst/>
          </a:endParaRPr>
        </a:p>
        <a:p>
          <a:r>
            <a:rPr lang="en-GB" sz="1100">
              <a:solidFill>
                <a:schemeClr val="dk1"/>
              </a:solidFill>
              <a:effectLst/>
              <a:latin typeface="+mn-lt"/>
              <a:ea typeface="+mn-ea"/>
              <a:cs typeface="+mn-cs"/>
            </a:rPr>
            <a:t>0.107621</a:t>
          </a:r>
          <a:endParaRPr lang="en-GB">
            <a:effectLst/>
          </a:endParaRPr>
        </a:p>
        <a:p>
          <a:r>
            <a:rPr lang="en-GB" sz="1100">
              <a:solidFill>
                <a:schemeClr val="dk1"/>
              </a:solidFill>
              <a:effectLst/>
              <a:latin typeface="+mn-lt"/>
              <a:ea typeface="+mn-ea"/>
              <a:cs typeface="+mn-cs"/>
            </a:rPr>
            <a:t>0.108747</a:t>
          </a:r>
          <a:endParaRPr lang="en-GB">
            <a:effectLst/>
          </a:endParaRPr>
        </a:p>
        <a:p>
          <a:r>
            <a:rPr lang="en-GB" sz="1100">
              <a:solidFill>
                <a:schemeClr val="dk1"/>
              </a:solidFill>
              <a:effectLst/>
              <a:latin typeface="+mn-lt"/>
              <a:ea typeface="+mn-ea"/>
              <a:cs typeface="+mn-cs"/>
            </a:rPr>
            <a:t>0.106808</a:t>
          </a:r>
          <a:endParaRPr lang="en-GB">
            <a:effectLst/>
          </a:endParaRPr>
        </a:p>
        <a:p>
          <a:r>
            <a:rPr lang="en-GB" sz="1100">
              <a:solidFill>
                <a:schemeClr val="dk1"/>
              </a:solidFill>
              <a:effectLst/>
              <a:latin typeface="+mn-lt"/>
              <a:ea typeface="+mn-ea"/>
              <a:cs typeface="+mn-cs"/>
            </a:rPr>
            <a:t>0.108741</a:t>
          </a:r>
          <a:endParaRPr lang="en-GB">
            <a:effectLst/>
          </a:endParaRPr>
        </a:p>
        <a:p>
          <a:r>
            <a:rPr lang="en-GB" sz="1100">
              <a:solidFill>
                <a:schemeClr val="dk1"/>
              </a:solidFill>
              <a:effectLst/>
              <a:latin typeface="+mn-lt"/>
              <a:ea typeface="+mn-ea"/>
              <a:cs typeface="+mn-cs"/>
            </a:rPr>
            <a:t>0.108498</a:t>
          </a:r>
          <a:endParaRPr lang="en-GB">
            <a:effectLst/>
          </a:endParaRPr>
        </a:p>
        <a:p>
          <a:endParaRPr lang="en-GB" sz="1100">
            <a:latin typeface="Aptos Narrow" panose="020B0004020202020204" pitchFamily="34" charset="0"/>
          </a:endParaRPr>
        </a:p>
        <a:p>
          <a:r>
            <a:rPr lang="en-GB" sz="1100">
              <a:latin typeface="Aptos Narrow" panose="020B0004020202020204" pitchFamily="34" charset="0"/>
            </a:rPr>
            <a:t>PCR</a:t>
          </a:r>
        </a:p>
        <a:p>
          <a:r>
            <a:rPr lang="en-GB" sz="1100">
              <a:latin typeface="Aptos Narrow" panose="020B0004020202020204" pitchFamily="34" charset="0"/>
            </a:rPr>
            <a:t>0.110173</a:t>
          </a:r>
        </a:p>
        <a:p>
          <a:r>
            <a:rPr lang="en-GB" sz="1100">
              <a:latin typeface="Aptos Narrow" panose="020B0004020202020204" pitchFamily="34" charset="0"/>
            </a:rPr>
            <a:t>0.083337</a:t>
          </a:r>
        </a:p>
        <a:p>
          <a:r>
            <a:rPr lang="en-GB" sz="1100">
              <a:latin typeface="Aptos Narrow" panose="020B0004020202020204" pitchFamily="34" charset="0"/>
            </a:rPr>
            <a:t>0.146025</a:t>
          </a:r>
        </a:p>
        <a:p>
          <a:r>
            <a:rPr lang="en-GB" sz="1100">
              <a:latin typeface="Aptos Narrow" panose="020B0004020202020204" pitchFamily="34" charset="0"/>
            </a:rPr>
            <a:t>0.086637</a:t>
          </a:r>
        </a:p>
        <a:p>
          <a:r>
            <a:rPr lang="en-GB" sz="1100">
              <a:latin typeface="Aptos Narrow" panose="020B0004020202020204" pitchFamily="34" charset="0"/>
            </a:rPr>
            <a:t>0.090248</a:t>
          </a:r>
        </a:p>
        <a:p>
          <a:endParaRPr lang="en-GB" sz="1100">
            <a:latin typeface="Aptos Narrow" panose="020B0004020202020204" pitchFamily="34" charset="0"/>
          </a:endParaRPr>
        </a:p>
        <a:p>
          <a:r>
            <a:rPr lang="en-GB" sz="1100">
              <a:latin typeface="Aptos Narrow" panose="020B0004020202020204" pitchFamily="34" charset="0"/>
            </a:rPr>
            <a:t>NR</a:t>
          </a:r>
        </a:p>
        <a:p>
          <a:r>
            <a:rPr lang="en-GB" sz="1100">
              <a:latin typeface="Aptos Narrow" panose="020B0004020202020204" pitchFamily="34" charset="0"/>
            </a:rPr>
            <a:t>0.128129</a:t>
          </a:r>
        </a:p>
        <a:p>
          <a:r>
            <a:rPr lang="en-GB" sz="1100">
              <a:latin typeface="Aptos Narrow" panose="020B0004020202020204" pitchFamily="34" charset="0"/>
            </a:rPr>
            <a:t>0.168385</a:t>
          </a:r>
        </a:p>
        <a:p>
          <a:r>
            <a:rPr lang="en-GB" sz="1100">
              <a:latin typeface="Aptos Narrow" panose="020B0004020202020204" pitchFamily="34" charset="0"/>
            </a:rPr>
            <a:t>0.252837</a:t>
          </a:r>
        </a:p>
        <a:p>
          <a:r>
            <a:rPr lang="en-GB" sz="1100">
              <a:latin typeface="Aptos Narrow" panose="020B0004020202020204" pitchFamily="34" charset="0"/>
            </a:rPr>
            <a:t>0.190444</a:t>
          </a:r>
        </a:p>
        <a:p>
          <a:r>
            <a:rPr lang="en-GB" sz="1100">
              <a:latin typeface="Aptos Narrow" panose="020B0004020202020204" pitchFamily="34" charset="0"/>
            </a:rPr>
            <a:t>0.122536</a:t>
          </a:r>
        </a:p>
        <a:p>
          <a:endParaRPr lang="en-GB" sz="1100">
            <a:latin typeface="Aptos Narrow" panose="020B0004020202020204" pitchFamily="34" charset="0"/>
          </a:endParaRPr>
        </a:p>
        <a:p>
          <a:r>
            <a:rPr lang="en-GB" sz="1100">
              <a:solidFill>
                <a:schemeClr val="dk1"/>
              </a:solidFill>
              <a:effectLst/>
              <a:latin typeface="+mn-lt"/>
              <a:ea typeface="+mn-ea"/>
              <a:cs typeface="+mn-cs"/>
            </a:rPr>
            <a:t>SCR</a:t>
          </a:r>
          <a:endParaRPr lang="en-GB">
            <a:effectLst/>
          </a:endParaRPr>
        </a:p>
        <a:p>
          <a:r>
            <a:rPr lang="en-GB" sz="1100">
              <a:solidFill>
                <a:schemeClr val="dk1"/>
              </a:solidFill>
              <a:effectLst/>
              <a:latin typeface="+mn-lt"/>
              <a:ea typeface="+mn-ea"/>
              <a:cs typeface="+mn-cs"/>
            </a:rPr>
            <a:t>0.120303</a:t>
          </a:r>
          <a:endParaRPr lang="en-GB">
            <a:effectLst/>
          </a:endParaRPr>
        </a:p>
        <a:p>
          <a:r>
            <a:rPr lang="en-GB" sz="1100">
              <a:solidFill>
                <a:schemeClr val="dk1"/>
              </a:solidFill>
              <a:effectLst/>
              <a:latin typeface="+mn-lt"/>
              <a:ea typeface="+mn-ea"/>
              <a:cs typeface="+mn-cs"/>
            </a:rPr>
            <a:t>0.111778</a:t>
          </a:r>
          <a:endParaRPr lang="en-GB">
            <a:effectLst/>
          </a:endParaRPr>
        </a:p>
        <a:p>
          <a:r>
            <a:rPr lang="en-GB" sz="1100">
              <a:solidFill>
                <a:schemeClr val="dk1"/>
              </a:solidFill>
              <a:effectLst/>
              <a:latin typeface="+mn-lt"/>
              <a:ea typeface="+mn-ea"/>
              <a:cs typeface="+mn-cs"/>
            </a:rPr>
            <a:t>0.114591</a:t>
          </a:r>
          <a:endParaRPr lang="en-GB">
            <a:effectLst/>
          </a:endParaRPr>
        </a:p>
        <a:p>
          <a:r>
            <a:rPr lang="en-GB" sz="1100">
              <a:solidFill>
                <a:schemeClr val="dk1"/>
              </a:solidFill>
              <a:effectLst/>
              <a:latin typeface="+mn-lt"/>
              <a:ea typeface="+mn-ea"/>
              <a:cs typeface="+mn-cs"/>
            </a:rPr>
            <a:t>0.119326</a:t>
          </a:r>
          <a:endParaRPr lang="en-GB">
            <a:effectLst/>
          </a:endParaRPr>
        </a:p>
        <a:p>
          <a:r>
            <a:rPr lang="en-GB" sz="1100">
              <a:solidFill>
                <a:schemeClr val="dk1"/>
              </a:solidFill>
              <a:effectLst/>
              <a:latin typeface="+mn-lt"/>
              <a:ea typeface="+mn-ea"/>
              <a:cs typeface="+mn-cs"/>
            </a:rPr>
            <a:t>0.116752</a:t>
          </a:r>
          <a:endParaRPr lang="en-GB" sz="1100">
            <a:latin typeface="Aptos Narrow" panose="020B0004020202020204" pitchFamily="34" charset="0"/>
          </a:endParaRPr>
        </a:p>
        <a:p>
          <a:endParaRPr lang="en-GB" sz="1100">
            <a:latin typeface="Aptos Narrow" panose="020B0004020202020204" pitchFamily="34" charset="0"/>
          </a:endParaRPr>
        </a:p>
        <a:p>
          <a:r>
            <a:rPr lang="en-GB" sz="1100">
              <a:latin typeface="Aptos Narrow" panose="020B0004020202020204" pitchFamily="34" charset="0"/>
            </a:rPr>
            <a:t>PCR</a:t>
          </a:r>
        </a:p>
        <a:p>
          <a:r>
            <a:rPr lang="en-GB" sz="1100">
              <a:latin typeface="Aptos Narrow" panose="020B0004020202020204" pitchFamily="34" charset="0"/>
            </a:rPr>
            <a:t>0.134462</a:t>
          </a:r>
        </a:p>
        <a:p>
          <a:r>
            <a:rPr lang="en-GB" sz="1100">
              <a:latin typeface="Aptos Narrow" panose="020B0004020202020204" pitchFamily="34" charset="0"/>
            </a:rPr>
            <a:t>0.087429</a:t>
          </a:r>
        </a:p>
        <a:p>
          <a:r>
            <a:rPr lang="en-GB" sz="1100">
              <a:latin typeface="Aptos Narrow" panose="020B0004020202020204" pitchFamily="34" charset="0"/>
            </a:rPr>
            <a:t>0.089299</a:t>
          </a:r>
        </a:p>
        <a:p>
          <a:r>
            <a:rPr lang="en-GB" sz="1100">
              <a:latin typeface="Aptos Narrow" panose="020B0004020202020204" pitchFamily="34" charset="0"/>
            </a:rPr>
            <a:t>0.093815</a:t>
          </a:r>
        </a:p>
        <a:p>
          <a:r>
            <a:rPr lang="en-GB" sz="1100">
              <a:latin typeface="Aptos Narrow" panose="020B0004020202020204" pitchFamily="34" charset="0"/>
            </a:rPr>
            <a:t>0.084032</a:t>
          </a:r>
        </a:p>
        <a:p>
          <a:endParaRPr lang="en-GB" sz="1100">
            <a:latin typeface="Aptos Narrow" panose="020B0004020202020204" pitchFamily="34" charset="0"/>
          </a:endParaRPr>
        </a:p>
        <a:p>
          <a:r>
            <a:rPr lang="en-GB" sz="1100">
              <a:latin typeface="Aptos Narrow" panose="020B0004020202020204" pitchFamily="34" charset="0"/>
            </a:rPr>
            <a:t>NR</a:t>
          </a:r>
        </a:p>
        <a:p>
          <a:r>
            <a:rPr lang="en-GB" sz="1100">
              <a:latin typeface="Aptos Narrow" panose="020B0004020202020204" pitchFamily="34" charset="0"/>
            </a:rPr>
            <a:t>0.118251</a:t>
          </a:r>
        </a:p>
        <a:p>
          <a:r>
            <a:rPr lang="en-GB" sz="1100">
              <a:latin typeface="Aptos Narrow" panose="020B0004020202020204" pitchFamily="34" charset="0"/>
            </a:rPr>
            <a:t>0.132793</a:t>
          </a:r>
        </a:p>
        <a:p>
          <a:r>
            <a:rPr lang="en-GB" sz="1100">
              <a:latin typeface="Aptos Narrow" panose="020B0004020202020204" pitchFamily="34" charset="0"/>
            </a:rPr>
            <a:t>0.140730</a:t>
          </a:r>
        </a:p>
        <a:p>
          <a:r>
            <a:rPr lang="en-GB" sz="1100">
              <a:latin typeface="Aptos Narrow" panose="020B0004020202020204" pitchFamily="34" charset="0"/>
            </a:rPr>
            <a:t>0.124816</a:t>
          </a:r>
        </a:p>
        <a:p>
          <a:r>
            <a:rPr lang="en-GB" sz="1100">
              <a:latin typeface="Aptos Narrow" panose="020B0004020202020204" pitchFamily="34" charset="0"/>
            </a:rPr>
            <a:t>0.153009</a:t>
          </a:r>
        </a:p>
        <a:p>
          <a:endParaRPr lang="en-GB" sz="1100">
            <a:latin typeface="Aptos Narrow" panose="020B0004020202020204" pitchFamily="34" charset="0"/>
          </a:endParaRPr>
        </a:p>
        <a:p>
          <a:r>
            <a:rPr lang="en-GB" sz="1100">
              <a:solidFill>
                <a:schemeClr val="dk1"/>
              </a:solidFill>
              <a:effectLst/>
              <a:latin typeface="+mn-lt"/>
              <a:ea typeface="+mn-ea"/>
              <a:cs typeface="+mn-cs"/>
            </a:rPr>
            <a:t>SCR</a:t>
          </a:r>
          <a:endParaRPr lang="en-GB">
            <a:effectLst/>
          </a:endParaRPr>
        </a:p>
        <a:p>
          <a:r>
            <a:rPr lang="en-GB" sz="1100">
              <a:solidFill>
                <a:schemeClr val="dk1"/>
              </a:solidFill>
              <a:effectLst/>
              <a:latin typeface="+mn-lt"/>
              <a:ea typeface="+mn-ea"/>
              <a:cs typeface="+mn-cs"/>
            </a:rPr>
            <a:t>0.107136</a:t>
          </a:r>
          <a:endParaRPr lang="en-GB">
            <a:effectLst/>
          </a:endParaRPr>
        </a:p>
        <a:p>
          <a:r>
            <a:rPr lang="en-GB" sz="1100">
              <a:solidFill>
                <a:schemeClr val="dk1"/>
              </a:solidFill>
              <a:effectLst/>
              <a:latin typeface="+mn-lt"/>
              <a:ea typeface="+mn-ea"/>
              <a:cs typeface="+mn-cs"/>
            </a:rPr>
            <a:t>0.109803</a:t>
          </a:r>
          <a:endParaRPr lang="en-GB">
            <a:effectLst/>
          </a:endParaRPr>
        </a:p>
        <a:p>
          <a:r>
            <a:rPr lang="en-GB" sz="1100">
              <a:solidFill>
                <a:schemeClr val="dk1"/>
              </a:solidFill>
              <a:effectLst/>
              <a:latin typeface="+mn-lt"/>
              <a:ea typeface="+mn-ea"/>
              <a:cs typeface="+mn-cs"/>
            </a:rPr>
            <a:t>0.109702</a:t>
          </a:r>
          <a:endParaRPr lang="en-GB">
            <a:effectLst/>
          </a:endParaRPr>
        </a:p>
        <a:p>
          <a:r>
            <a:rPr lang="en-GB" sz="1100">
              <a:solidFill>
                <a:schemeClr val="dk1"/>
              </a:solidFill>
              <a:effectLst/>
              <a:latin typeface="+mn-lt"/>
              <a:ea typeface="+mn-ea"/>
              <a:cs typeface="+mn-cs"/>
            </a:rPr>
            <a:t>0.127092</a:t>
          </a:r>
          <a:endParaRPr lang="en-GB">
            <a:effectLst/>
          </a:endParaRPr>
        </a:p>
        <a:p>
          <a:r>
            <a:rPr lang="en-GB" sz="1100">
              <a:solidFill>
                <a:schemeClr val="dk1"/>
              </a:solidFill>
              <a:effectLst/>
              <a:latin typeface="+mn-lt"/>
              <a:ea typeface="+mn-ea"/>
              <a:cs typeface="+mn-cs"/>
            </a:rPr>
            <a:t>0.112756</a:t>
          </a:r>
          <a:endParaRPr lang="en-GB" sz="1100">
            <a:latin typeface="Aptos Narrow" panose="020B0004020202020204" pitchFamily="34" charset="0"/>
          </a:endParaRPr>
        </a:p>
        <a:p>
          <a:endParaRPr lang="en-GB" sz="1100">
            <a:latin typeface="Aptos Narrow" panose="020B0004020202020204" pitchFamily="34" charset="0"/>
          </a:endParaRPr>
        </a:p>
        <a:p>
          <a:r>
            <a:rPr lang="en-GB" sz="1100">
              <a:latin typeface="Aptos Narrow" panose="020B0004020202020204" pitchFamily="34" charset="0"/>
            </a:rPr>
            <a:t>PCR</a:t>
          </a:r>
        </a:p>
        <a:p>
          <a:r>
            <a:rPr lang="en-GB" sz="1100">
              <a:latin typeface="Aptos Narrow" panose="020B0004020202020204" pitchFamily="34" charset="0"/>
            </a:rPr>
            <a:t>0.080665</a:t>
          </a:r>
        </a:p>
        <a:p>
          <a:r>
            <a:rPr lang="en-GB" sz="1100">
              <a:latin typeface="Aptos Narrow" panose="020B0004020202020204" pitchFamily="34" charset="0"/>
            </a:rPr>
            <a:t>0.093465</a:t>
          </a:r>
        </a:p>
        <a:p>
          <a:r>
            <a:rPr lang="en-GB" sz="1100">
              <a:latin typeface="Aptos Narrow" panose="020B0004020202020204" pitchFamily="34" charset="0"/>
            </a:rPr>
            <a:t>0.099729</a:t>
          </a:r>
        </a:p>
        <a:p>
          <a:r>
            <a:rPr lang="en-GB" sz="1100">
              <a:latin typeface="Aptos Narrow" panose="020B0004020202020204" pitchFamily="34" charset="0"/>
            </a:rPr>
            <a:t>0.112996</a:t>
          </a:r>
        </a:p>
        <a:p>
          <a:r>
            <a:rPr lang="en-GB" sz="1100">
              <a:latin typeface="Aptos Narrow" panose="020B0004020202020204" pitchFamily="34" charset="0"/>
            </a:rPr>
            <a:t>0.099595</a:t>
          </a:r>
        </a:p>
      </xdr:txBody>
    </xdr:sp>
    <xdr:clientData/>
  </xdr:twoCellAnchor>
  <xdr:twoCellAnchor>
    <xdr:from>
      <xdr:col>6</xdr:col>
      <xdr:colOff>0</xdr:colOff>
      <xdr:row>24</xdr:row>
      <xdr:rowOff>128587</xdr:rowOff>
    </xdr:from>
    <xdr:to>
      <xdr:col>8</xdr:col>
      <xdr:colOff>117750</xdr:colOff>
      <xdr:row>39</xdr:row>
      <xdr:rowOff>14287</xdr:rowOff>
    </xdr:to>
    <xdr:graphicFrame macro="">
      <xdr:nvGraphicFramePr>
        <xdr:cNvPr id="6" name="Chart 5">
          <a:extLst>
            <a:ext uri="{FF2B5EF4-FFF2-40B4-BE49-F238E27FC236}">
              <a16:creationId xmlns:a16="http://schemas.microsoft.com/office/drawing/2014/main" id="{814D921B-F093-4F6E-A2BE-56DD83A67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38100</xdr:colOff>
      <xdr:row>0</xdr:row>
      <xdr:rowOff>200024</xdr:rowOff>
    </xdr:from>
    <xdr:to>
      <xdr:col>28</xdr:col>
      <xdr:colOff>94800</xdr:colOff>
      <xdr:row>60</xdr:row>
      <xdr:rowOff>142875</xdr:rowOff>
    </xdr:to>
    <xdr:sp macro="" textlink="">
      <xdr:nvSpPr>
        <xdr:cNvPr id="7" name="TextBox 6">
          <a:extLst>
            <a:ext uri="{FF2B5EF4-FFF2-40B4-BE49-F238E27FC236}">
              <a16:creationId xmlns:a16="http://schemas.microsoft.com/office/drawing/2014/main" id="{55940E00-F504-4810-86B3-0A0998E15561}"/>
            </a:ext>
          </a:extLst>
        </xdr:cNvPr>
        <xdr:cNvSpPr txBox="1"/>
      </xdr:nvSpPr>
      <xdr:spPr>
        <a:xfrm>
          <a:off x="23060025" y="200024"/>
          <a:ext cx="3600000" cy="13458826"/>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Data Captured For</a:t>
          </a:r>
          <a:r>
            <a:rPr lang="en-GB" sz="1100" b="1" u="sng" baseline="0">
              <a:latin typeface="Aptos Narrow" panose="020B0004020202020204" pitchFamily="34" charset="0"/>
            </a:rPr>
            <a:t> First Three Columns (Simple VIs)</a:t>
          </a:r>
        </a:p>
        <a:p>
          <a:r>
            <a:rPr lang="en-GB" sz="1100" b="0" u="none">
              <a:latin typeface="Aptos Narrow" panose="020B0004020202020204" pitchFamily="34" charset="0"/>
            </a:rPr>
            <a:t>NR</a:t>
          </a:r>
        </a:p>
        <a:p>
          <a:r>
            <a:rPr lang="en-GB" sz="1100" b="0" u="none">
              <a:latin typeface="Aptos Narrow" panose="020B0004020202020204" pitchFamily="34" charset="0"/>
            </a:rPr>
            <a:t>0.053630</a:t>
          </a:r>
        </a:p>
        <a:p>
          <a:r>
            <a:rPr lang="en-GB" sz="1100" b="0" u="none">
              <a:latin typeface="Aptos Narrow" panose="020B0004020202020204" pitchFamily="34" charset="0"/>
            </a:rPr>
            <a:t>0.090400</a:t>
          </a:r>
        </a:p>
        <a:p>
          <a:r>
            <a:rPr lang="en-GB" sz="1100" b="0" u="none">
              <a:latin typeface="Aptos Narrow" panose="020B0004020202020204" pitchFamily="34" charset="0"/>
            </a:rPr>
            <a:t>0.058736</a:t>
          </a:r>
        </a:p>
        <a:p>
          <a:r>
            <a:rPr lang="en-GB" sz="1100" b="0" u="none">
              <a:latin typeface="Aptos Narrow" panose="020B0004020202020204" pitchFamily="34" charset="0"/>
            </a:rPr>
            <a:t>0.056035</a:t>
          </a:r>
        </a:p>
        <a:p>
          <a:r>
            <a:rPr lang="en-GB" sz="1100" b="0" u="none">
              <a:latin typeface="Aptos Narrow" panose="020B0004020202020204" pitchFamily="34" charset="0"/>
            </a:rPr>
            <a:t>0.057157</a:t>
          </a:r>
        </a:p>
        <a:p>
          <a:r>
            <a:rPr lang="en-GB" sz="1100" b="0" u="none">
              <a:latin typeface="Aptos Narrow" panose="020B0004020202020204" pitchFamily="34" charset="0"/>
            </a:rPr>
            <a:t>0.050847</a:t>
          </a:r>
        </a:p>
        <a:p>
          <a:r>
            <a:rPr lang="en-GB" sz="1100" b="0" u="none">
              <a:latin typeface="Aptos Narrow" panose="020B0004020202020204" pitchFamily="34" charset="0"/>
            </a:rPr>
            <a:t>0.053141</a:t>
          </a:r>
        </a:p>
        <a:p>
          <a:r>
            <a:rPr lang="en-GB" sz="1100" b="0" u="none">
              <a:latin typeface="Aptos Narrow" panose="020B0004020202020204" pitchFamily="34" charset="0"/>
            </a:rPr>
            <a:t>0.055818</a:t>
          </a:r>
        </a:p>
        <a:p>
          <a:r>
            <a:rPr lang="en-GB" sz="1100" b="0" u="none">
              <a:latin typeface="Aptos Narrow" panose="020B0004020202020204" pitchFamily="34" charset="0"/>
            </a:rPr>
            <a:t>0.053525</a:t>
          </a:r>
        </a:p>
        <a:p>
          <a:r>
            <a:rPr lang="en-GB" sz="1100" b="0" u="none">
              <a:latin typeface="Aptos Narrow" panose="020B0004020202020204" pitchFamily="34" charset="0"/>
            </a:rPr>
            <a:t>0.057098</a:t>
          </a:r>
        </a:p>
        <a:p>
          <a:r>
            <a:rPr lang="en-GB" sz="1100" b="0" u="none">
              <a:latin typeface="Aptos Narrow" panose="020B0004020202020204" pitchFamily="34" charset="0"/>
            </a:rPr>
            <a:t>0.057045</a:t>
          </a:r>
        </a:p>
        <a:p>
          <a:r>
            <a:rPr lang="en-GB" sz="1100" b="0" u="none">
              <a:latin typeface="Aptos Narrow" panose="020B0004020202020204" pitchFamily="34" charset="0"/>
            </a:rPr>
            <a:t>0.056579</a:t>
          </a:r>
        </a:p>
        <a:p>
          <a:r>
            <a:rPr lang="en-GB" sz="1100" b="0" u="none">
              <a:latin typeface="Aptos Narrow" panose="020B0004020202020204" pitchFamily="34" charset="0"/>
            </a:rPr>
            <a:t>0.090420</a:t>
          </a:r>
        </a:p>
        <a:p>
          <a:r>
            <a:rPr lang="en-GB" sz="1100" b="0" u="none">
              <a:latin typeface="Aptos Narrow" panose="020B0004020202020204" pitchFamily="34" charset="0"/>
            </a:rPr>
            <a:t>0.053567</a:t>
          </a:r>
        </a:p>
        <a:p>
          <a:r>
            <a:rPr lang="en-GB" sz="1100" b="0" u="none">
              <a:latin typeface="Aptos Narrow" panose="020B0004020202020204" pitchFamily="34" charset="0"/>
            </a:rPr>
            <a:t>0.051221</a:t>
          </a:r>
        </a:p>
        <a:p>
          <a:endParaRPr lang="en-GB" sz="1100" b="0" u="none">
            <a:latin typeface="Aptos Narrow" panose="020B0004020202020204" pitchFamily="34" charset="0"/>
          </a:endParaRPr>
        </a:p>
        <a:p>
          <a:r>
            <a:rPr lang="en-GB" sz="1100" b="0" u="none">
              <a:latin typeface="Aptos Narrow" panose="020B0004020202020204" pitchFamily="34" charset="0"/>
            </a:rPr>
            <a:t>SCR</a:t>
          </a:r>
        </a:p>
        <a:p>
          <a:r>
            <a:rPr lang="en-GB" sz="1100" b="0" u="none">
              <a:latin typeface="Aptos Narrow" panose="020B0004020202020204" pitchFamily="34" charset="0"/>
            </a:rPr>
            <a:t>0.052067</a:t>
          </a:r>
        </a:p>
        <a:p>
          <a:r>
            <a:rPr lang="en-GB" sz="1100" b="0" u="none">
              <a:latin typeface="Aptos Narrow" panose="020B0004020202020204" pitchFamily="34" charset="0"/>
            </a:rPr>
            <a:t>0.054482</a:t>
          </a:r>
        </a:p>
        <a:p>
          <a:r>
            <a:rPr lang="en-GB" sz="1100" b="0" u="none">
              <a:latin typeface="Aptos Narrow" panose="020B0004020202020204" pitchFamily="34" charset="0"/>
            </a:rPr>
            <a:t>0.053866</a:t>
          </a:r>
        </a:p>
        <a:p>
          <a:r>
            <a:rPr lang="en-GB" sz="1100" b="0" u="none">
              <a:latin typeface="Aptos Narrow" panose="020B0004020202020204" pitchFamily="34" charset="0"/>
            </a:rPr>
            <a:t>0.054403</a:t>
          </a:r>
        </a:p>
        <a:p>
          <a:r>
            <a:rPr lang="en-GB" sz="1100" b="0" u="none">
              <a:latin typeface="Aptos Narrow" panose="020B0004020202020204" pitchFamily="34" charset="0"/>
            </a:rPr>
            <a:t>0.053645</a:t>
          </a:r>
        </a:p>
        <a:p>
          <a:r>
            <a:rPr lang="en-GB" sz="1100" b="0" u="none">
              <a:latin typeface="Aptos Narrow" panose="020B0004020202020204" pitchFamily="34" charset="0"/>
            </a:rPr>
            <a:t>0.052364</a:t>
          </a:r>
        </a:p>
        <a:p>
          <a:r>
            <a:rPr lang="en-GB" sz="1100" b="0" u="none">
              <a:latin typeface="Aptos Narrow" panose="020B0004020202020204" pitchFamily="34" charset="0"/>
            </a:rPr>
            <a:t>0.054304</a:t>
          </a:r>
        </a:p>
        <a:p>
          <a:r>
            <a:rPr lang="en-GB" sz="1100" b="0" u="none">
              <a:latin typeface="Aptos Narrow" panose="020B0004020202020204" pitchFamily="34" charset="0"/>
            </a:rPr>
            <a:t>0.061379</a:t>
          </a:r>
        </a:p>
        <a:p>
          <a:r>
            <a:rPr lang="en-GB" sz="1100" b="0" u="none">
              <a:latin typeface="Aptos Narrow" panose="020B0004020202020204" pitchFamily="34" charset="0"/>
            </a:rPr>
            <a:t>0.053748</a:t>
          </a:r>
        </a:p>
        <a:p>
          <a:r>
            <a:rPr lang="en-GB" sz="1100" b="0" u="none">
              <a:latin typeface="Aptos Narrow" panose="020B0004020202020204" pitchFamily="34" charset="0"/>
            </a:rPr>
            <a:t>0.054015</a:t>
          </a:r>
        </a:p>
        <a:p>
          <a:r>
            <a:rPr lang="en-GB" sz="1100" b="0" u="none">
              <a:latin typeface="Aptos Narrow" panose="020B0004020202020204" pitchFamily="34" charset="0"/>
            </a:rPr>
            <a:t>0.073749</a:t>
          </a:r>
        </a:p>
        <a:p>
          <a:r>
            <a:rPr lang="en-GB" sz="1100" b="0" u="none">
              <a:latin typeface="Aptos Narrow" panose="020B0004020202020204" pitchFamily="34" charset="0"/>
            </a:rPr>
            <a:t>0.053576</a:t>
          </a:r>
        </a:p>
        <a:p>
          <a:r>
            <a:rPr lang="en-GB" sz="1100" b="0" u="none">
              <a:latin typeface="Aptos Narrow" panose="020B0004020202020204" pitchFamily="34" charset="0"/>
            </a:rPr>
            <a:t>0.052639</a:t>
          </a:r>
        </a:p>
        <a:p>
          <a:r>
            <a:rPr lang="en-GB" sz="1100" b="0" u="none">
              <a:latin typeface="Aptos Narrow" panose="020B0004020202020204" pitchFamily="34" charset="0"/>
            </a:rPr>
            <a:t>0.053913</a:t>
          </a:r>
        </a:p>
        <a:p>
          <a:r>
            <a:rPr lang="en-GB" sz="1100" b="0" u="none">
              <a:latin typeface="Aptos Narrow" panose="020B0004020202020204" pitchFamily="34" charset="0"/>
            </a:rPr>
            <a:t>0.053317</a:t>
          </a:r>
        </a:p>
        <a:p>
          <a:endParaRPr lang="en-GB" sz="1100" b="0" u="none">
            <a:latin typeface="Aptos Narrow" panose="020B0004020202020204" pitchFamily="34" charset="0"/>
          </a:endParaRPr>
        </a:p>
        <a:p>
          <a:r>
            <a:rPr lang="en-GB" sz="1100" b="0" u="none">
              <a:latin typeface="Aptos Narrow" panose="020B0004020202020204" pitchFamily="34" charset="0"/>
            </a:rPr>
            <a:t>PCR</a:t>
          </a:r>
        </a:p>
        <a:p>
          <a:r>
            <a:rPr lang="en-GB" sz="1100" b="0" u="none">
              <a:latin typeface="Aptos Narrow" panose="020B0004020202020204" pitchFamily="34" charset="0"/>
            </a:rPr>
            <a:t>0.027966</a:t>
          </a:r>
        </a:p>
        <a:p>
          <a:r>
            <a:rPr lang="en-GB" sz="1100" b="0" u="none">
              <a:latin typeface="Aptos Narrow" panose="020B0004020202020204" pitchFamily="34" charset="0"/>
            </a:rPr>
            <a:t>0.020875</a:t>
          </a:r>
        </a:p>
        <a:p>
          <a:r>
            <a:rPr lang="en-GB" sz="1100" b="0" u="none">
              <a:latin typeface="Aptos Narrow" panose="020B0004020202020204" pitchFamily="34" charset="0"/>
            </a:rPr>
            <a:t>0.032162</a:t>
          </a:r>
        </a:p>
        <a:p>
          <a:r>
            <a:rPr lang="en-GB" sz="1100" b="0" u="none">
              <a:latin typeface="Aptos Narrow" panose="020B0004020202020204" pitchFamily="34" charset="0"/>
            </a:rPr>
            <a:t>0.026951</a:t>
          </a:r>
        </a:p>
        <a:p>
          <a:r>
            <a:rPr lang="en-GB" sz="1100" b="0" u="none">
              <a:latin typeface="Aptos Narrow" panose="020B0004020202020204" pitchFamily="34" charset="0"/>
            </a:rPr>
            <a:t>0.020276</a:t>
          </a:r>
        </a:p>
        <a:p>
          <a:r>
            <a:rPr lang="en-GB" sz="1100" b="0" u="none">
              <a:latin typeface="Aptos Narrow" panose="020B0004020202020204" pitchFamily="34" charset="0"/>
            </a:rPr>
            <a:t>0.021818</a:t>
          </a:r>
        </a:p>
        <a:p>
          <a:r>
            <a:rPr lang="en-GB" sz="1100" b="0" u="none">
              <a:latin typeface="Aptos Narrow" panose="020B0004020202020204" pitchFamily="34" charset="0"/>
            </a:rPr>
            <a:t>0.023479</a:t>
          </a:r>
        </a:p>
        <a:p>
          <a:r>
            <a:rPr lang="en-GB" sz="1100" b="0" u="none">
              <a:latin typeface="Aptos Narrow" panose="020B0004020202020204" pitchFamily="34" charset="0"/>
            </a:rPr>
            <a:t>0.027950</a:t>
          </a:r>
        </a:p>
        <a:p>
          <a:r>
            <a:rPr lang="en-GB" sz="1100" b="0" u="none">
              <a:latin typeface="Aptos Narrow" panose="020B0004020202020204" pitchFamily="34" charset="0"/>
            </a:rPr>
            <a:t>0.024710</a:t>
          </a:r>
        </a:p>
        <a:p>
          <a:r>
            <a:rPr lang="en-GB" sz="1100" b="0" u="none">
              <a:latin typeface="Aptos Narrow" panose="020B0004020202020204" pitchFamily="34" charset="0"/>
            </a:rPr>
            <a:t>0.024360</a:t>
          </a:r>
        </a:p>
        <a:p>
          <a:r>
            <a:rPr lang="en-GB" sz="1100" b="0" u="none">
              <a:latin typeface="Aptos Narrow" panose="020B0004020202020204" pitchFamily="34" charset="0"/>
            </a:rPr>
            <a:t>0.048533</a:t>
          </a:r>
        </a:p>
        <a:p>
          <a:r>
            <a:rPr lang="en-GB" sz="1100" b="0" u="none">
              <a:latin typeface="Aptos Narrow" panose="020B0004020202020204" pitchFamily="34" charset="0"/>
            </a:rPr>
            <a:t>0.020373</a:t>
          </a:r>
        </a:p>
        <a:p>
          <a:r>
            <a:rPr lang="en-GB" sz="1100" b="0" u="none">
              <a:latin typeface="Aptos Narrow" panose="020B0004020202020204" pitchFamily="34" charset="0"/>
            </a:rPr>
            <a:t>0.022056</a:t>
          </a:r>
        </a:p>
        <a:p>
          <a:r>
            <a:rPr lang="en-GB" sz="1100" b="0" u="none">
              <a:latin typeface="Aptos Narrow" panose="020B0004020202020204" pitchFamily="34" charset="0"/>
            </a:rPr>
            <a:t>0.024072</a:t>
          </a:r>
        </a:p>
        <a:p>
          <a:r>
            <a:rPr lang="en-GB" sz="1100" b="0" u="none">
              <a:latin typeface="Aptos Narrow" panose="020B0004020202020204" pitchFamily="34" charset="0"/>
            </a:rPr>
            <a:t>0.020530</a:t>
          </a:r>
        </a:p>
      </xdr:txBody>
    </xdr:sp>
    <xdr:clientData/>
  </xdr:twoCellAnchor>
  <xdr:twoCellAnchor>
    <xdr:from>
      <xdr:col>34</xdr:col>
      <xdr:colOff>342899</xdr:colOff>
      <xdr:row>0</xdr:row>
      <xdr:rowOff>200024</xdr:rowOff>
    </xdr:from>
    <xdr:to>
      <xdr:col>40</xdr:col>
      <xdr:colOff>399599</xdr:colOff>
      <xdr:row>60</xdr:row>
      <xdr:rowOff>142875</xdr:rowOff>
    </xdr:to>
    <xdr:sp macro="" textlink="">
      <xdr:nvSpPr>
        <xdr:cNvPr id="8" name="TextBox 7">
          <a:extLst>
            <a:ext uri="{FF2B5EF4-FFF2-40B4-BE49-F238E27FC236}">
              <a16:creationId xmlns:a16="http://schemas.microsoft.com/office/drawing/2014/main" id="{DCB8524D-EDDF-32B1-43E3-903A5ED0197D}"/>
            </a:ext>
          </a:extLst>
        </xdr:cNvPr>
        <xdr:cNvSpPr txBox="1"/>
      </xdr:nvSpPr>
      <xdr:spPr>
        <a:xfrm>
          <a:off x="30451424" y="200024"/>
          <a:ext cx="3600000" cy="13458826"/>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Data Captured For</a:t>
          </a:r>
          <a:r>
            <a:rPr lang="en-GB" sz="1100" b="1" u="sng" baseline="0">
              <a:latin typeface="Aptos Narrow" panose="020B0004020202020204" pitchFamily="34" charset="0"/>
            </a:rPr>
            <a:t> Next Three Columns (Complex VIs)</a:t>
          </a:r>
          <a:endParaRPr lang="en-GB" sz="1100" b="1" u="sng">
            <a:latin typeface="Aptos Narrow" panose="020B0004020202020204" pitchFamily="34" charset="0"/>
          </a:endParaRPr>
        </a:p>
        <a:p>
          <a:r>
            <a:rPr lang="en-GB" sz="1100">
              <a:latin typeface="Aptos Narrow" panose="020B0004020202020204" pitchFamily="34" charset="0"/>
            </a:rPr>
            <a:t>NR</a:t>
          </a:r>
        </a:p>
        <a:p>
          <a:r>
            <a:rPr lang="en-GB" sz="1100">
              <a:latin typeface="Aptos Narrow" panose="020B0004020202020204" pitchFamily="34" charset="0"/>
            </a:rPr>
            <a:t>0.782642</a:t>
          </a:r>
        </a:p>
        <a:p>
          <a:r>
            <a:rPr lang="en-GB" sz="1100">
              <a:latin typeface="Aptos Narrow" panose="020B0004020202020204" pitchFamily="34" charset="0"/>
            </a:rPr>
            <a:t>0.817455</a:t>
          </a:r>
        </a:p>
        <a:p>
          <a:r>
            <a:rPr lang="en-GB" sz="1100">
              <a:latin typeface="Aptos Narrow" panose="020B0004020202020204" pitchFamily="34" charset="0"/>
            </a:rPr>
            <a:t>0.785043</a:t>
          </a:r>
        </a:p>
        <a:p>
          <a:r>
            <a:rPr lang="en-GB" sz="1100">
              <a:latin typeface="Aptos Narrow" panose="020B0004020202020204" pitchFamily="34" charset="0"/>
            </a:rPr>
            <a:t>0.783835</a:t>
          </a:r>
        </a:p>
        <a:p>
          <a:r>
            <a:rPr lang="en-GB" sz="1100">
              <a:latin typeface="Aptos Narrow" panose="020B0004020202020204" pitchFamily="34" charset="0"/>
            </a:rPr>
            <a:t>0.783077</a:t>
          </a:r>
        </a:p>
        <a:p>
          <a:r>
            <a:rPr lang="en-GB" sz="1100">
              <a:latin typeface="Aptos Narrow" panose="020B0004020202020204" pitchFamily="34" charset="0"/>
            </a:rPr>
            <a:t>0.833941</a:t>
          </a:r>
        </a:p>
        <a:p>
          <a:r>
            <a:rPr lang="en-GB" sz="1100">
              <a:latin typeface="Aptos Narrow" panose="020B0004020202020204" pitchFamily="34" charset="0"/>
            </a:rPr>
            <a:t>0.790758</a:t>
          </a:r>
        </a:p>
        <a:p>
          <a:r>
            <a:rPr lang="en-GB" sz="1100">
              <a:latin typeface="Aptos Narrow" panose="020B0004020202020204" pitchFamily="34" charset="0"/>
            </a:rPr>
            <a:t>0.780814</a:t>
          </a:r>
        </a:p>
        <a:p>
          <a:r>
            <a:rPr lang="en-GB" sz="1100">
              <a:latin typeface="Aptos Narrow" panose="020B0004020202020204" pitchFamily="34" charset="0"/>
            </a:rPr>
            <a:t>0.782988</a:t>
          </a:r>
        </a:p>
        <a:p>
          <a:r>
            <a:rPr lang="en-GB" sz="1100">
              <a:latin typeface="Aptos Narrow" panose="020B0004020202020204" pitchFamily="34" charset="0"/>
            </a:rPr>
            <a:t>0.787366</a:t>
          </a:r>
        </a:p>
        <a:p>
          <a:r>
            <a:rPr lang="en-GB" sz="1100">
              <a:latin typeface="Aptos Narrow" panose="020B0004020202020204" pitchFamily="34" charset="0"/>
            </a:rPr>
            <a:t>0.788686</a:t>
          </a:r>
        </a:p>
        <a:p>
          <a:r>
            <a:rPr lang="en-GB" sz="1100">
              <a:latin typeface="Aptos Narrow" panose="020B0004020202020204" pitchFamily="34" charset="0"/>
            </a:rPr>
            <a:t>0.792781</a:t>
          </a:r>
        </a:p>
        <a:p>
          <a:r>
            <a:rPr lang="en-GB" sz="1100">
              <a:latin typeface="Aptos Narrow" panose="020B0004020202020204" pitchFamily="34" charset="0"/>
            </a:rPr>
            <a:t>0.784144</a:t>
          </a:r>
        </a:p>
        <a:p>
          <a:r>
            <a:rPr lang="en-GB" sz="1100">
              <a:latin typeface="Aptos Narrow" panose="020B0004020202020204" pitchFamily="34" charset="0"/>
            </a:rPr>
            <a:t>0.802175</a:t>
          </a:r>
        </a:p>
        <a:p>
          <a:r>
            <a:rPr lang="en-GB" sz="1100">
              <a:latin typeface="Aptos Narrow" panose="020B0004020202020204" pitchFamily="34" charset="0"/>
            </a:rPr>
            <a:t>0.788432</a:t>
          </a:r>
        </a:p>
        <a:p>
          <a:endParaRPr lang="en-GB" sz="1100">
            <a:latin typeface="Aptos Narrow" panose="020B0004020202020204" pitchFamily="34" charset="0"/>
          </a:endParaRPr>
        </a:p>
        <a:p>
          <a:r>
            <a:rPr lang="en-GB" sz="1100">
              <a:latin typeface="Aptos Narrow" panose="020B0004020202020204" pitchFamily="34" charset="0"/>
            </a:rPr>
            <a:t>SCR</a:t>
          </a:r>
        </a:p>
        <a:p>
          <a:r>
            <a:rPr lang="en-GB" sz="1100">
              <a:latin typeface="Aptos Narrow" panose="020B0004020202020204" pitchFamily="34" charset="0"/>
            </a:rPr>
            <a:t>0.814703</a:t>
          </a:r>
        </a:p>
        <a:p>
          <a:r>
            <a:rPr lang="en-GB" sz="1100">
              <a:latin typeface="Aptos Narrow" panose="020B0004020202020204" pitchFamily="34" charset="0"/>
            </a:rPr>
            <a:t>0.786048</a:t>
          </a:r>
        </a:p>
        <a:p>
          <a:r>
            <a:rPr lang="en-GB" sz="1100">
              <a:latin typeface="Aptos Narrow" panose="020B0004020202020204" pitchFamily="34" charset="0"/>
            </a:rPr>
            <a:t>0.787949</a:t>
          </a:r>
        </a:p>
        <a:p>
          <a:r>
            <a:rPr lang="en-GB" sz="1100">
              <a:latin typeface="Aptos Narrow" panose="020B0004020202020204" pitchFamily="34" charset="0"/>
            </a:rPr>
            <a:t>0.845376</a:t>
          </a:r>
        </a:p>
        <a:p>
          <a:r>
            <a:rPr lang="en-GB" sz="1100">
              <a:latin typeface="Aptos Narrow" panose="020B0004020202020204" pitchFamily="34" charset="0"/>
            </a:rPr>
            <a:t>0.785068</a:t>
          </a:r>
        </a:p>
        <a:p>
          <a:r>
            <a:rPr lang="en-GB" sz="1100">
              <a:latin typeface="Aptos Narrow" panose="020B0004020202020204" pitchFamily="34" charset="0"/>
            </a:rPr>
            <a:t>0.785474</a:t>
          </a:r>
        </a:p>
        <a:p>
          <a:r>
            <a:rPr lang="en-GB" sz="1100">
              <a:latin typeface="Aptos Narrow" panose="020B0004020202020204" pitchFamily="34" charset="0"/>
            </a:rPr>
            <a:t>0.792958</a:t>
          </a:r>
        </a:p>
        <a:p>
          <a:r>
            <a:rPr lang="en-GB" sz="1100">
              <a:latin typeface="Aptos Narrow" panose="020B0004020202020204" pitchFamily="34" charset="0"/>
            </a:rPr>
            <a:t>0.786026</a:t>
          </a:r>
        </a:p>
        <a:p>
          <a:r>
            <a:rPr lang="en-GB" sz="1100">
              <a:latin typeface="Aptos Narrow" panose="020B0004020202020204" pitchFamily="34" charset="0"/>
            </a:rPr>
            <a:t>0.790953</a:t>
          </a:r>
        </a:p>
        <a:p>
          <a:r>
            <a:rPr lang="en-GB" sz="1100">
              <a:latin typeface="Aptos Narrow" panose="020B0004020202020204" pitchFamily="34" charset="0"/>
            </a:rPr>
            <a:t>0.787082</a:t>
          </a:r>
        </a:p>
        <a:p>
          <a:r>
            <a:rPr lang="en-GB" sz="1100">
              <a:latin typeface="Aptos Narrow" panose="020B0004020202020204" pitchFamily="34" charset="0"/>
            </a:rPr>
            <a:t>0.814034</a:t>
          </a:r>
        </a:p>
        <a:p>
          <a:r>
            <a:rPr lang="en-GB" sz="1100">
              <a:latin typeface="Aptos Narrow" panose="020B0004020202020204" pitchFamily="34" charset="0"/>
            </a:rPr>
            <a:t>0.787000</a:t>
          </a:r>
        </a:p>
        <a:p>
          <a:r>
            <a:rPr lang="en-GB" sz="1100">
              <a:latin typeface="Aptos Narrow" panose="020B0004020202020204" pitchFamily="34" charset="0"/>
            </a:rPr>
            <a:t>0.791014</a:t>
          </a:r>
        </a:p>
        <a:p>
          <a:r>
            <a:rPr lang="en-GB" sz="1100">
              <a:latin typeface="Aptos Narrow" panose="020B0004020202020204" pitchFamily="34" charset="0"/>
            </a:rPr>
            <a:t>0.786699</a:t>
          </a:r>
        </a:p>
        <a:p>
          <a:r>
            <a:rPr lang="en-GB" sz="1100">
              <a:latin typeface="Aptos Narrow" panose="020B0004020202020204" pitchFamily="34" charset="0"/>
            </a:rPr>
            <a:t>0.815531</a:t>
          </a:r>
        </a:p>
        <a:p>
          <a:endParaRPr lang="en-GB" sz="1100">
            <a:latin typeface="Aptos Narrow" panose="020B0004020202020204" pitchFamily="34" charset="0"/>
          </a:endParaRPr>
        </a:p>
        <a:p>
          <a:r>
            <a:rPr lang="en-GB" sz="1100">
              <a:latin typeface="Aptos Narrow" panose="020B0004020202020204" pitchFamily="34" charset="0"/>
            </a:rPr>
            <a:t>PCR</a:t>
          </a:r>
        </a:p>
        <a:p>
          <a:r>
            <a:rPr lang="en-GB" sz="1100">
              <a:latin typeface="Aptos Narrow" panose="020B0004020202020204" pitchFamily="34" charset="0"/>
            </a:rPr>
            <a:t>0.768105</a:t>
          </a:r>
        </a:p>
        <a:p>
          <a:r>
            <a:rPr lang="en-GB" sz="1100">
              <a:latin typeface="Aptos Narrow" panose="020B0004020202020204" pitchFamily="34" charset="0"/>
            </a:rPr>
            <a:t>0.752950</a:t>
          </a:r>
        </a:p>
        <a:p>
          <a:r>
            <a:rPr lang="en-GB" sz="1100">
              <a:latin typeface="Aptos Narrow" panose="020B0004020202020204" pitchFamily="34" charset="0"/>
            </a:rPr>
            <a:t>0.781635</a:t>
          </a:r>
        </a:p>
        <a:p>
          <a:r>
            <a:rPr lang="en-GB" sz="1100">
              <a:latin typeface="Aptos Narrow" panose="020B0004020202020204" pitchFamily="34" charset="0"/>
            </a:rPr>
            <a:t>0.750532</a:t>
          </a:r>
        </a:p>
        <a:p>
          <a:r>
            <a:rPr lang="en-GB" sz="1100">
              <a:latin typeface="Aptos Narrow" panose="020B0004020202020204" pitchFamily="34" charset="0"/>
            </a:rPr>
            <a:t>0.760329</a:t>
          </a:r>
        </a:p>
        <a:p>
          <a:r>
            <a:rPr lang="en-GB" sz="1100">
              <a:latin typeface="Aptos Narrow" panose="020B0004020202020204" pitchFamily="34" charset="0"/>
            </a:rPr>
            <a:t>0.759868</a:t>
          </a:r>
        </a:p>
        <a:p>
          <a:r>
            <a:rPr lang="en-GB" sz="1100">
              <a:latin typeface="Aptos Narrow" panose="020B0004020202020204" pitchFamily="34" charset="0"/>
            </a:rPr>
            <a:t>0.791074</a:t>
          </a:r>
        </a:p>
        <a:p>
          <a:r>
            <a:rPr lang="en-GB" sz="1100">
              <a:latin typeface="Aptos Narrow" panose="020B0004020202020204" pitchFamily="34" charset="0"/>
            </a:rPr>
            <a:t>0.751540</a:t>
          </a:r>
        </a:p>
        <a:p>
          <a:r>
            <a:rPr lang="en-GB" sz="1100">
              <a:latin typeface="Aptos Narrow" panose="020B0004020202020204" pitchFamily="34" charset="0"/>
            </a:rPr>
            <a:t>0.762319</a:t>
          </a:r>
        </a:p>
        <a:p>
          <a:r>
            <a:rPr lang="en-GB" sz="1100">
              <a:latin typeface="Aptos Narrow" panose="020B0004020202020204" pitchFamily="34" charset="0"/>
            </a:rPr>
            <a:t>0.784928</a:t>
          </a:r>
        </a:p>
        <a:p>
          <a:r>
            <a:rPr lang="en-GB" sz="1100">
              <a:latin typeface="Aptos Narrow" panose="020B0004020202020204" pitchFamily="34" charset="0"/>
            </a:rPr>
            <a:t>0.755202</a:t>
          </a:r>
        </a:p>
        <a:p>
          <a:r>
            <a:rPr lang="en-GB" sz="1100">
              <a:latin typeface="Aptos Narrow" panose="020B0004020202020204" pitchFamily="34" charset="0"/>
            </a:rPr>
            <a:t>0.753296</a:t>
          </a:r>
        </a:p>
        <a:p>
          <a:r>
            <a:rPr lang="en-GB" sz="1100">
              <a:latin typeface="Aptos Narrow" panose="020B0004020202020204" pitchFamily="34" charset="0"/>
            </a:rPr>
            <a:t>0.770737</a:t>
          </a:r>
        </a:p>
        <a:p>
          <a:r>
            <a:rPr lang="en-GB" sz="1100">
              <a:latin typeface="Aptos Narrow" panose="020B0004020202020204" pitchFamily="34" charset="0"/>
            </a:rPr>
            <a:t>0.749916</a:t>
          </a:r>
        </a:p>
        <a:p>
          <a:r>
            <a:rPr lang="en-GB" sz="1100">
              <a:latin typeface="Aptos Narrow" panose="020B0004020202020204" pitchFamily="34" charset="0"/>
            </a:rPr>
            <a:t>0.784845</a:t>
          </a:r>
        </a:p>
      </xdr:txBody>
    </xdr:sp>
    <xdr:clientData/>
  </xdr:twoCellAnchor>
  <xdr:twoCellAnchor>
    <xdr:from>
      <xdr:col>9</xdr:col>
      <xdr:colOff>0</xdr:colOff>
      <xdr:row>24</xdr:row>
      <xdr:rowOff>128587</xdr:rowOff>
    </xdr:from>
    <xdr:to>
      <xdr:col>11</xdr:col>
      <xdr:colOff>117750</xdr:colOff>
      <xdr:row>39</xdr:row>
      <xdr:rowOff>14287</xdr:rowOff>
    </xdr:to>
    <xdr:graphicFrame macro="">
      <xdr:nvGraphicFramePr>
        <xdr:cNvPr id="9" name="Chart 8">
          <a:extLst>
            <a:ext uri="{FF2B5EF4-FFF2-40B4-BE49-F238E27FC236}">
              <a16:creationId xmlns:a16="http://schemas.microsoft.com/office/drawing/2014/main" id="{6F3D6EBC-E7D7-4F68-92C3-91DE936FB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238125</xdr:colOff>
      <xdr:row>0</xdr:row>
      <xdr:rowOff>200025</xdr:rowOff>
    </xdr:from>
    <xdr:to>
      <xdr:col>21</xdr:col>
      <xdr:colOff>523200</xdr:colOff>
      <xdr:row>12</xdr:row>
      <xdr:rowOff>108858</xdr:rowOff>
    </xdr:to>
    <xdr:sp macro="" textlink="">
      <xdr:nvSpPr>
        <xdr:cNvPr id="2" name="TextBox 1">
          <a:extLst>
            <a:ext uri="{FF2B5EF4-FFF2-40B4-BE49-F238E27FC236}">
              <a16:creationId xmlns:a16="http://schemas.microsoft.com/office/drawing/2014/main" id="{6AE943C0-4FF1-4209-B3B0-16237B7C107B}"/>
            </a:ext>
          </a:extLst>
        </xdr:cNvPr>
        <xdr:cNvSpPr txBox="1"/>
      </xdr:nvSpPr>
      <xdr:spPr>
        <a:xfrm>
          <a:off x="16764000" y="200025"/>
          <a:ext cx="6190575" cy="2909208"/>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2.vi</a:t>
          </a:r>
        </a:p>
        <a:p>
          <a:r>
            <a:rPr lang="en-GB" sz="1100">
              <a:latin typeface="Aptos Narrow" panose="020B0004020202020204" pitchFamily="34" charset="0"/>
            </a:rPr>
            <a:t>Machine: Surface Laptop 4</a:t>
          </a:r>
        </a:p>
        <a:p>
          <a:r>
            <a:rPr lang="en-GB" sz="1100">
              <a:latin typeface="Aptos Narrow" panose="020B0004020202020204" pitchFamily="34" charset="0"/>
            </a:rPr>
            <a:t>Date: 07 and 08 September 2026</a:t>
          </a:r>
        </a:p>
        <a:p>
          <a:endParaRPr lang="en-GB" sz="1100">
            <a:latin typeface="Aptos Narrow" panose="020B0004020202020204" pitchFamily="34" charset="0"/>
          </a:endParaRPr>
        </a:p>
        <a:p>
          <a:r>
            <a:rPr lang="en-GB" sz="1100">
              <a:solidFill>
                <a:schemeClr val="dk1"/>
              </a:solidFill>
              <a:effectLst/>
              <a:latin typeface="+mn-lt"/>
              <a:ea typeface="+mn-ea"/>
              <a:cs typeface="+mn-cs"/>
            </a:rPr>
            <a:t>Experiment 2. For loop: 1 million iterations.</a:t>
          </a:r>
          <a:r>
            <a:rPr lang="en-GB" sz="1100" baseline="0">
              <a:solidFill>
                <a:schemeClr val="dk1"/>
              </a:solidFill>
              <a:effectLst/>
              <a:latin typeface="+mn-lt"/>
              <a:ea typeface="+mn-ea"/>
              <a:cs typeface="+mn-cs"/>
            </a:rPr>
            <a:t> Between each chunk of 5 runs, went to the block diagram and enabled the other case of the Diagram Disable Structure. Then, ran 5 runs without recording the results. Then ran another 5 runs and recorded those results.</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 Similar results to Experiment 1. Slightly stronger difference between PCR and NR than in Exp 1 (112 CPU instructions saved per call vs. 102, 142 vs. 139, 113 vs. 82).</a:t>
          </a:r>
          <a:endParaRPr lang="en-GB">
            <a:effectLst/>
          </a:endParaRPr>
        </a:p>
      </xdr:txBody>
    </xdr:sp>
    <xdr:clientData/>
  </xdr:twoCellAnchor>
  <xdr:twoCellAnchor>
    <xdr:from>
      <xdr:col>2</xdr:col>
      <xdr:colOff>580465</xdr:colOff>
      <xdr:row>24</xdr:row>
      <xdr:rowOff>128587</xdr:rowOff>
    </xdr:from>
    <xdr:to>
      <xdr:col>4</xdr:col>
      <xdr:colOff>698216</xdr:colOff>
      <xdr:row>39</xdr:row>
      <xdr:rowOff>14287</xdr:rowOff>
    </xdr:to>
    <xdr:graphicFrame macro="">
      <xdr:nvGraphicFramePr>
        <xdr:cNvPr id="3" name="Chart 2">
          <a:extLst>
            <a:ext uri="{FF2B5EF4-FFF2-40B4-BE49-F238E27FC236}">
              <a16:creationId xmlns:a16="http://schemas.microsoft.com/office/drawing/2014/main" id="{B7F55EF0-BB07-4CEF-A923-6840DDC97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171449</xdr:colOff>
      <xdr:row>0</xdr:row>
      <xdr:rowOff>200024</xdr:rowOff>
    </xdr:from>
    <xdr:to>
      <xdr:col>34</xdr:col>
      <xdr:colOff>228149</xdr:colOff>
      <xdr:row>60</xdr:row>
      <xdr:rowOff>142875</xdr:rowOff>
    </xdr:to>
    <xdr:sp macro="" textlink="">
      <xdr:nvSpPr>
        <xdr:cNvPr id="4" name="TextBox 3">
          <a:extLst>
            <a:ext uri="{FF2B5EF4-FFF2-40B4-BE49-F238E27FC236}">
              <a16:creationId xmlns:a16="http://schemas.microsoft.com/office/drawing/2014/main" id="{109A0215-D035-416B-86DC-2A8CDCCE7FE8}"/>
            </a:ext>
          </a:extLst>
        </xdr:cNvPr>
        <xdr:cNvSpPr txBox="1"/>
      </xdr:nvSpPr>
      <xdr:spPr>
        <a:xfrm>
          <a:off x="26736674" y="200024"/>
          <a:ext cx="3600000" cy="13458826"/>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Data Captured For</a:t>
          </a:r>
          <a:r>
            <a:rPr lang="en-GB" sz="1100" b="1" u="sng" baseline="0">
              <a:latin typeface="Aptos Narrow" panose="020B0004020202020204" pitchFamily="34" charset="0"/>
            </a:rPr>
            <a:t> Next Three Columns (Medium VIs)</a:t>
          </a:r>
          <a:endParaRPr lang="en-GB" sz="1100" b="1" u="sng">
            <a:latin typeface="Aptos Narrow" panose="020B0004020202020204" pitchFamily="34" charset="0"/>
          </a:endParaRPr>
        </a:p>
        <a:p>
          <a:r>
            <a:rPr lang="en-GB" sz="1100">
              <a:latin typeface="Aptos Narrow" panose="020B0004020202020204" pitchFamily="34" charset="0"/>
            </a:rPr>
            <a:t>NR</a:t>
          </a:r>
        </a:p>
        <a:p>
          <a:r>
            <a:rPr lang="en-GB" sz="1100">
              <a:solidFill>
                <a:schemeClr val="dk1"/>
              </a:solidFill>
              <a:effectLst/>
              <a:latin typeface="+mn-lt"/>
              <a:ea typeface="+mn-ea"/>
              <a:cs typeface="+mn-cs"/>
            </a:rPr>
            <a:t>0.138246</a:t>
          </a:r>
          <a:endParaRPr lang="en-GB">
            <a:effectLst/>
          </a:endParaRPr>
        </a:p>
        <a:p>
          <a:r>
            <a:rPr lang="en-GB" sz="1100">
              <a:solidFill>
                <a:schemeClr val="dk1"/>
              </a:solidFill>
              <a:effectLst/>
              <a:latin typeface="+mn-lt"/>
              <a:ea typeface="+mn-ea"/>
              <a:cs typeface="+mn-cs"/>
            </a:rPr>
            <a:t>0.141753</a:t>
          </a:r>
          <a:endParaRPr lang="en-GB">
            <a:effectLst/>
          </a:endParaRPr>
        </a:p>
        <a:p>
          <a:r>
            <a:rPr lang="en-GB" sz="1100">
              <a:solidFill>
                <a:schemeClr val="dk1"/>
              </a:solidFill>
              <a:effectLst/>
              <a:latin typeface="+mn-lt"/>
              <a:ea typeface="+mn-ea"/>
              <a:cs typeface="+mn-cs"/>
            </a:rPr>
            <a:t>0.134289</a:t>
          </a:r>
          <a:endParaRPr lang="en-GB">
            <a:effectLst/>
          </a:endParaRPr>
        </a:p>
        <a:p>
          <a:r>
            <a:rPr lang="en-GB" sz="1100">
              <a:solidFill>
                <a:schemeClr val="dk1"/>
              </a:solidFill>
              <a:effectLst/>
              <a:latin typeface="+mn-lt"/>
              <a:ea typeface="+mn-ea"/>
              <a:cs typeface="+mn-cs"/>
            </a:rPr>
            <a:t>0.128429</a:t>
          </a:r>
          <a:endParaRPr lang="en-GB">
            <a:effectLst/>
          </a:endParaRPr>
        </a:p>
        <a:p>
          <a:r>
            <a:rPr lang="en-GB" sz="1100">
              <a:solidFill>
                <a:schemeClr val="dk1"/>
              </a:solidFill>
              <a:effectLst/>
              <a:latin typeface="+mn-lt"/>
              <a:ea typeface="+mn-ea"/>
              <a:cs typeface="+mn-cs"/>
            </a:rPr>
            <a:t>0.158691</a:t>
          </a:r>
        </a:p>
        <a:p>
          <a:r>
            <a:rPr lang="en-GB" sz="1100">
              <a:solidFill>
                <a:schemeClr val="dk1"/>
              </a:solidFill>
              <a:effectLst/>
              <a:latin typeface="+mn-lt"/>
              <a:ea typeface="+mn-ea"/>
              <a:cs typeface="+mn-cs"/>
            </a:rPr>
            <a:t>0.133421</a:t>
          </a:r>
          <a:endParaRPr lang="en-GB">
            <a:effectLst/>
          </a:endParaRPr>
        </a:p>
        <a:p>
          <a:r>
            <a:rPr lang="en-GB" sz="1100">
              <a:solidFill>
                <a:schemeClr val="dk1"/>
              </a:solidFill>
              <a:effectLst/>
              <a:latin typeface="+mn-lt"/>
              <a:ea typeface="+mn-ea"/>
              <a:cs typeface="+mn-cs"/>
            </a:rPr>
            <a:t>0.134923</a:t>
          </a:r>
          <a:endParaRPr lang="en-GB">
            <a:effectLst/>
          </a:endParaRPr>
        </a:p>
        <a:p>
          <a:r>
            <a:rPr lang="en-GB" sz="1100">
              <a:solidFill>
                <a:schemeClr val="dk1"/>
              </a:solidFill>
              <a:effectLst/>
              <a:latin typeface="+mn-lt"/>
              <a:ea typeface="+mn-ea"/>
              <a:cs typeface="+mn-cs"/>
            </a:rPr>
            <a:t>0.133324</a:t>
          </a:r>
          <a:endParaRPr lang="en-GB">
            <a:effectLst/>
          </a:endParaRPr>
        </a:p>
        <a:p>
          <a:r>
            <a:rPr lang="en-GB" sz="1100">
              <a:solidFill>
                <a:schemeClr val="dk1"/>
              </a:solidFill>
              <a:effectLst/>
              <a:latin typeface="+mn-lt"/>
              <a:ea typeface="+mn-ea"/>
              <a:cs typeface="+mn-cs"/>
            </a:rPr>
            <a:t>0.131751</a:t>
          </a:r>
          <a:endParaRPr lang="en-GB">
            <a:effectLst/>
          </a:endParaRPr>
        </a:p>
        <a:p>
          <a:r>
            <a:rPr lang="en-GB" sz="1100">
              <a:solidFill>
                <a:schemeClr val="dk1"/>
              </a:solidFill>
              <a:effectLst/>
              <a:latin typeface="+mn-lt"/>
              <a:ea typeface="+mn-ea"/>
              <a:cs typeface="+mn-cs"/>
            </a:rPr>
            <a:t>0.131721</a:t>
          </a:r>
          <a:endParaRPr lang="en-GB">
            <a:effectLst/>
          </a:endParaRPr>
        </a:p>
        <a:p>
          <a:r>
            <a:rPr lang="en-GB" sz="1100">
              <a:solidFill>
                <a:schemeClr val="dk1"/>
              </a:solidFill>
              <a:effectLst/>
              <a:latin typeface="+mn-lt"/>
              <a:ea typeface="+mn-ea"/>
              <a:cs typeface="+mn-cs"/>
            </a:rPr>
            <a:t>0.152674</a:t>
          </a:r>
          <a:endParaRPr lang="en-GB">
            <a:effectLst/>
          </a:endParaRPr>
        </a:p>
        <a:p>
          <a:r>
            <a:rPr lang="en-GB" sz="1100">
              <a:solidFill>
                <a:schemeClr val="dk1"/>
              </a:solidFill>
              <a:effectLst/>
              <a:latin typeface="+mn-lt"/>
              <a:ea typeface="+mn-ea"/>
              <a:cs typeface="+mn-cs"/>
            </a:rPr>
            <a:t>0.157989</a:t>
          </a:r>
          <a:endParaRPr lang="en-GB">
            <a:effectLst/>
          </a:endParaRPr>
        </a:p>
        <a:p>
          <a:r>
            <a:rPr lang="en-GB" sz="1100">
              <a:solidFill>
                <a:schemeClr val="dk1"/>
              </a:solidFill>
              <a:effectLst/>
              <a:latin typeface="+mn-lt"/>
              <a:ea typeface="+mn-ea"/>
              <a:cs typeface="+mn-cs"/>
            </a:rPr>
            <a:t>0.168449</a:t>
          </a:r>
          <a:endParaRPr lang="en-GB">
            <a:effectLst/>
          </a:endParaRPr>
        </a:p>
        <a:p>
          <a:r>
            <a:rPr lang="en-GB" sz="1100">
              <a:solidFill>
                <a:schemeClr val="dk1"/>
              </a:solidFill>
              <a:effectLst/>
              <a:latin typeface="+mn-lt"/>
              <a:ea typeface="+mn-ea"/>
              <a:cs typeface="+mn-cs"/>
            </a:rPr>
            <a:t>0.203735</a:t>
          </a:r>
          <a:endParaRPr lang="en-GB">
            <a:effectLst/>
          </a:endParaRPr>
        </a:p>
        <a:p>
          <a:r>
            <a:rPr lang="en-GB" sz="1100">
              <a:solidFill>
                <a:schemeClr val="dk1"/>
              </a:solidFill>
              <a:effectLst/>
              <a:latin typeface="+mn-lt"/>
              <a:ea typeface="+mn-ea"/>
              <a:cs typeface="+mn-cs"/>
            </a:rPr>
            <a:t>0.143338</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SCR</a:t>
          </a:r>
        </a:p>
        <a:p>
          <a:r>
            <a:rPr lang="en-GB" sz="1100">
              <a:solidFill>
                <a:schemeClr val="dk1"/>
              </a:solidFill>
              <a:effectLst/>
              <a:latin typeface="+mn-lt"/>
              <a:ea typeface="+mn-ea"/>
              <a:cs typeface="+mn-cs"/>
            </a:rPr>
            <a:t>0.127764</a:t>
          </a:r>
        </a:p>
        <a:p>
          <a:r>
            <a:rPr lang="en-GB" sz="1100">
              <a:solidFill>
                <a:schemeClr val="dk1"/>
              </a:solidFill>
              <a:effectLst/>
              <a:latin typeface="+mn-lt"/>
              <a:ea typeface="+mn-ea"/>
              <a:cs typeface="+mn-cs"/>
            </a:rPr>
            <a:t>0.127016</a:t>
          </a:r>
        </a:p>
        <a:p>
          <a:r>
            <a:rPr lang="en-GB" sz="1100">
              <a:solidFill>
                <a:schemeClr val="dk1"/>
              </a:solidFill>
              <a:effectLst/>
              <a:latin typeface="+mn-lt"/>
              <a:ea typeface="+mn-ea"/>
              <a:cs typeface="+mn-cs"/>
            </a:rPr>
            <a:t>0.159872</a:t>
          </a:r>
        </a:p>
        <a:p>
          <a:r>
            <a:rPr lang="en-GB" sz="1100">
              <a:solidFill>
                <a:schemeClr val="dk1"/>
              </a:solidFill>
              <a:effectLst/>
              <a:latin typeface="+mn-lt"/>
              <a:ea typeface="+mn-ea"/>
              <a:cs typeface="+mn-cs"/>
            </a:rPr>
            <a:t>0.128277</a:t>
          </a:r>
        </a:p>
        <a:p>
          <a:r>
            <a:rPr lang="en-GB" sz="1100">
              <a:solidFill>
                <a:schemeClr val="dk1"/>
              </a:solidFill>
              <a:effectLst/>
              <a:latin typeface="+mn-lt"/>
              <a:ea typeface="+mn-ea"/>
              <a:cs typeface="+mn-cs"/>
            </a:rPr>
            <a:t>0.131726</a:t>
          </a:r>
        </a:p>
        <a:p>
          <a:r>
            <a:rPr lang="en-GB" sz="1100">
              <a:solidFill>
                <a:schemeClr val="dk1"/>
              </a:solidFill>
              <a:effectLst/>
              <a:latin typeface="+mn-lt"/>
              <a:ea typeface="+mn-ea"/>
              <a:cs typeface="+mn-cs"/>
            </a:rPr>
            <a:t>0.125542</a:t>
          </a:r>
        </a:p>
        <a:p>
          <a:r>
            <a:rPr lang="en-GB" sz="1100">
              <a:solidFill>
                <a:schemeClr val="dk1"/>
              </a:solidFill>
              <a:effectLst/>
              <a:latin typeface="+mn-lt"/>
              <a:ea typeface="+mn-ea"/>
              <a:cs typeface="+mn-cs"/>
            </a:rPr>
            <a:t>0.125357</a:t>
          </a:r>
        </a:p>
        <a:p>
          <a:r>
            <a:rPr lang="en-GB" sz="1100">
              <a:solidFill>
                <a:schemeClr val="dk1"/>
              </a:solidFill>
              <a:effectLst/>
              <a:latin typeface="+mn-lt"/>
              <a:ea typeface="+mn-ea"/>
              <a:cs typeface="+mn-cs"/>
            </a:rPr>
            <a:t>0.130029</a:t>
          </a:r>
        </a:p>
        <a:p>
          <a:r>
            <a:rPr lang="en-GB" sz="1100">
              <a:solidFill>
                <a:schemeClr val="dk1"/>
              </a:solidFill>
              <a:effectLst/>
              <a:latin typeface="+mn-lt"/>
              <a:ea typeface="+mn-ea"/>
              <a:cs typeface="+mn-cs"/>
            </a:rPr>
            <a:t>0.124663</a:t>
          </a:r>
        </a:p>
        <a:p>
          <a:r>
            <a:rPr lang="en-GB" sz="1100">
              <a:solidFill>
                <a:schemeClr val="dk1"/>
              </a:solidFill>
              <a:effectLst/>
              <a:latin typeface="+mn-lt"/>
              <a:ea typeface="+mn-ea"/>
              <a:cs typeface="+mn-cs"/>
            </a:rPr>
            <a:t>0.138773</a:t>
          </a:r>
        </a:p>
        <a:p>
          <a:r>
            <a:rPr lang="en-GB" sz="1100">
              <a:solidFill>
                <a:schemeClr val="dk1"/>
              </a:solidFill>
              <a:effectLst/>
              <a:latin typeface="+mn-lt"/>
              <a:ea typeface="+mn-ea"/>
              <a:cs typeface="+mn-cs"/>
            </a:rPr>
            <a:t>0.131208</a:t>
          </a:r>
        </a:p>
        <a:p>
          <a:r>
            <a:rPr lang="en-GB" sz="1100">
              <a:solidFill>
                <a:schemeClr val="dk1"/>
              </a:solidFill>
              <a:effectLst/>
              <a:latin typeface="+mn-lt"/>
              <a:ea typeface="+mn-ea"/>
              <a:cs typeface="+mn-cs"/>
            </a:rPr>
            <a:t>0.124488</a:t>
          </a:r>
        </a:p>
        <a:p>
          <a:r>
            <a:rPr lang="en-GB" sz="1100">
              <a:solidFill>
                <a:schemeClr val="dk1"/>
              </a:solidFill>
              <a:effectLst/>
              <a:latin typeface="+mn-lt"/>
              <a:ea typeface="+mn-ea"/>
              <a:cs typeface="+mn-cs"/>
            </a:rPr>
            <a:t>0.128754</a:t>
          </a:r>
        </a:p>
        <a:p>
          <a:r>
            <a:rPr lang="en-GB" sz="1100">
              <a:solidFill>
                <a:schemeClr val="dk1"/>
              </a:solidFill>
              <a:effectLst/>
              <a:latin typeface="+mn-lt"/>
              <a:ea typeface="+mn-ea"/>
              <a:cs typeface="+mn-cs"/>
            </a:rPr>
            <a:t>0.129008</a:t>
          </a:r>
        </a:p>
        <a:p>
          <a:r>
            <a:rPr lang="en-GB" sz="1100">
              <a:solidFill>
                <a:schemeClr val="dk1"/>
              </a:solidFill>
              <a:effectLst/>
              <a:latin typeface="+mn-lt"/>
              <a:ea typeface="+mn-ea"/>
              <a:cs typeface="+mn-cs"/>
            </a:rPr>
            <a:t>0.124508</a:t>
          </a:r>
        </a:p>
        <a:p>
          <a:endParaRPr lang="en-GB">
            <a:effectLst/>
          </a:endParaRPr>
        </a:p>
        <a:p>
          <a:r>
            <a:rPr lang="en-GB" sz="1100">
              <a:solidFill>
                <a:schemeClr val="dk1"/>
              </a:solidFill>
              <a:effectLst/>
              <a:latin typeface="+mn-lt"/>
              <a:ea typeface="+mn-ea"/>
              <a:cs typeface="+mn-cs"/>
            </a:rPr>
            <a:t>PCR</a:t>
          </a:r>
          <a:endParaRPr lang="en-GB">
            <a:effectLst/>
          </a:endParaRPr>
        </a:p>
        <a:p>
          <a:r>
            <a:rPr lang="en-GB" sz="1100">
              <a:solidFill>
                <a:schemeClr val="dk1"/>
              </a:solidFill>
              <a:effectLst/>
              <a:latin typeface="+mn-lt"/>
              <a:ea typeface="+mn-ea"/>
              <a:cs typeface="+mn-cs"/>
            </a:rPr>
            <a:t>0.097702</a:t>
          </a:r>
          <a:endParaRPr lang="en-GB">
            <a:effectLst/>
          </a:endParaRPr>
        </a:p>
        <a:p>
          <a:r>
            <a:rPr lang="en-GB" sz="1100">
              <a:solidFill>
                <a:schemeClr val="dk1"/>
              </a:solidFill>
              <a:effectLst/>
              <a:latin typeface="+mn-lt"/>
              <a:ea typeface="+mn-ea"/>
              <a:cs typeface="+mn-cs"/>
            </a:rPr>
            <a:t>0.099673</a:t>
          </a:r>
          <a:endParaRPr lang="en-GB">
            <a:effectLst/>
          </a:endParaRPr>
        </a:p>
        <a:p>
          <a:r>
            <a:rPr lang="en-GB" sz="1100">
              <a:solidFill>
                <a:schemeClr val="dk1"/>
              </a:solidFill>
              <a:effectLst/>
              <a:latin typeface="+mn-lt"/>
              <a:ea typeface="+mn-ea"/>
              <a:cs typeface="+mn-cs"/>
            </a:rPr>
            <a:t>0.104267</a:t>
          </a:r>
          <a:endParaRPr lang="en-GB">
            <a:effectLst/>
          </a:endParaRPr>
        </a:p>
        <a:p>
          <a:r>
            <a:rPr lang="en-GB" sz="1100">
              <a:solidFill>
                <a:schemeClr val="dk1"/>
              </a:solidFill>
              <a:effectLst/>
              <a:latin typeface="+mn-lt"/>
              <a:ea typeface="+mn-ea"/>
              <a:cs typeface="+mn-cs"/>
            </a:rPr>
            <a:t>0.098386</a:t>
          </a:r>
          <a:endParaRPr lang="en-GB">
            <a:effectLst/>
          </a:endParaRPr>
        </a:p>
        <a:p>
          <a:r>
            <a:rPr lang="en-GB" sz="1100">
              <a:solidFill>
                <a:schemeClr val="dk1"/>
              </a:solidFill>
              <a:effectLst/>
              <a:latin typeface="+mn-lt"/>
              <a:ea typeface="+mn-ea"/>
              <a:cs typeface="+mn-cs"/>
            </a:rPr>
            <a:t>0.102519</a:t>
          </a:r>
          <a:endParaRPr lang="en-GB">
            <a:effectLst/>
          </a:endParaRPr>
        </a:p>
        <a:p>
          <a:r>
            <a:rPr lang="en-GB" sz="1100">
              <a:solidFill>
                <a:schemeClr val="dk1"/>
              </a:solidFill>
              <a:effectLst/>
              <a:latin typeface="+mn-lt"/>
              <a:ea typeface="+mn-ea"/>
              <a:cs typeface="+mn-cs"/>
            </a:rPr>
            <a:t>0.097639</a:t>
          </a:r>
          <a:endParaRPr lang="en-GB">
            <a:effectLst/>
          </a:endParaRPr>
        </a:p>
        <a:p>
          <a:r>
            <a:rPr lang="en-GB" sz="1100">
              <a:solidFill>
                <a:schemeClr val="dk1"/>
              </a:solidFill>
              <a:effectLst/>
              <a:latin typeface="+mn-lt"/>
              <a:ea typeface="+mn-ea"/>
              <a:cs typeface="+mn-cs"/>
            </a:rPr>
            <a:t>0.099663</a:t>
          </a:r>
          <a:endParaRPr lang="en-GB">
            <a:effectLst/>
          </a:endParaRPr>
        </a:p>
        <a:p>
          <a:r>
            <a:rPr lang="en-GB" sz="1100">
              <a:solidFill>
                <a:schemeClr val="dk1"/>
              </a:solidFill>
              <a:effectLst/>
              <a:latin typeface="+mn-lt"/>
              <a:ea typeface="+mn-ea"/>
              <a:cs typeface="+mn-cs"/>
            </a:rPr>
            <a:t>0.097924</a:t>
          </a:r>
          <a:endParaRPr lang="en-GB">
            <a:effectLst/>
          </a:endParaRPr>
        </a:p>
        <a:p>
          <a:r>
            <a:rPr lang="en-GB" sz="1100">
              <a:solidFill>
                <a:schemeClr val="dk1"/>
              </a:solidFill>
              <a:effectLst/>
              <a:latin typeface="+mn-lt"/>
              <a:ea typeface="+mn-ea"/>
              <a:cs typeface="+mn-cs"/>
            </a:rPr>
            <a:t>0.098561</a:t>
          </a:r>
          <a:endParaRPr lang="en-GB">
            <a:effectLst/>
          </a:endParaRPr>
        </a:p>
        <a:p>
          <a:r>
            <a:rPr lang="en-GB" sz="1100">
              <a:solidFill>
                <a:schemeClr val="dk1"/>
              </a:solidFill>
              <a:effectLst/>
              <a:latin typeface="+mn-lt"/>
              <a:ea typeface="+mn-ea"/>
              <a:cs typeface="+mn-cs"/>
            </a:rPr>
            <a:t>0.100548</a:t>
          </a:r>
          <a:endParaRPr lang="en-GB">
            <a:effectLst/>
          </a:endParaRPr>
        </a:p>
        <a:p>
          <a:r>
            <a:rPr lang="en-GB" sz="1100">
              <a:solidFill>
                <a:schemeClr val="dk1"/>
              </a:solidFill>
              <a:effectLst/>
              <a:latin typeface="+mn-lt"/>
              <a:ea typeface="+mn-ea"/>
              <a:cs typeface="+mn-cs"/>
            </a:rPr>
            <a:t>0.098120</a:t>
          </a:r>
          <a:endParaRPr lang="en-GB">
            <a:effectLst/>
          </a:endParaRPr>
        </a:p>
        <a:p>
          <a:r>
            <a:rPr lang="en-GB" sz="1100">
              <a:solidFill>
                <a:schemeClr val="dk1"/>
              </a:solidFill>
              <a:effectLst/>
              <a:latin typeface="+mn-lt"/>
              <a:ea typeface="+mn-ea"/>
              <a:cs typeface="+mn-cs"/>
            </a:rPr>
            <a:t>0.095987</a:t>
          </a:r>
          <a:endParaRPr lang="en-GB">
            <a:effectLst/>
          </a:endParaRPr>
        </a:p>
        <a:p>
          <a:r>
            <a:rPr lang="en-GB" sz="1100">
              <a:solidFill>
                <a:schemeClr val="dk1"/>
              </a:solidFill>
              <a:effectLst/>
              <a:latin typeface="+mn-lt"/>
              <a:ea typeface="+mn-ea"/>
              <a:cs typeface="+mn-cs"/>
            </a:rPr>
            <a:t>0.096413</a:t>
          </a:r>
          <a:endParaRPr lang="en-GB">
            <a:effectLst/>
          </a:endParaRPr>
        </a:p>
        <a:p>
          <a:r>
            <a:rPr lang="en-GB" sz="1100">
              <a:solidFill>
                <a:schemeClr val="dk1"/>
              </a:solidFill>
              <a:effectLst/>
              <a:latin typeface="+mn-lt"/>
              <a:ea typeface="+mn-ea"/>
              <a:cs typeface="+mn-cs"/>
            </a:rPr>
            <a:t>0.096449</a:t>
          </a:r>
          <a:endParaRPr lang="en-GB">
            <a:effectLst/>
          </a:endParaRPr>
        </a:p>
        <a:p>
          <a:r>
            <a:rPr lang="en-GB" sz="1100">
              <a:solidFill>
                <a:schemeClr val="dk1"/>
              </a:solidFill>
              <a:effectLst/>
              <a:latin typeface="+mn-lt"/>
              <a:ea typeface="+mn-ea"/>
              <a:cs typeface="+mn-cs"/>
            </a:rPr>
            <a:t>0.100184</a:t>
          </a:r>
          <a:endParaRPr lang="en-GB" sz="1100">
            <a:latin typeface="Aptos Narrow" panose="020B0004020202020204" pitchFamily="34" charset="0"/>
          </a:endParaRPr>
        </a:p>
      </xdr:txBody>
    </xdr:sp>
    <xdr:clientData/>
  </xdr:twoCellAnchor>
  <xdr:twoCellAnchor>
    <xdr:from>
      <xdr:col>5</xdr:col>
      <xdr:colOff>666189</xdr:colOff>
      <xdr:row>24</xdr:row>
      <xdr:rowOff>128587</xdr:rowOff>
    </xdr:from>
    <xdr:to>
      <xdr:col>7</xdr:col>
      <xdr:colOff>783939</xdr:colOff>
      <xdr:row>39</xdr:row>
      <xdr:rowOff>14287</xdr:rowOff>
    </xdr:to>
    <xdr:graphicFrame macro="">
      <xdr:nvGraphicFramePr>
        <xdr:cNvPr id="5" name="Chart 4">
          <a:extLst>
            <a:ext uri="{FF2B5EF4-FFF2-40B4-BE49-F238E27FC236}">
              <a16:creationId xmlns:a16="http://schemas.microsoft.com/office/drawing/2014/main" id="{F2544206-8AED-4FDF-BF79-4D149EAF5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38100</xdr:colOff>
      <xdr:row>0</xdr:row>
      <xdr:rowOff>200024</xdr:rowOff>
    </xdr:from>
    <xdr:to>
      <xdr:col>28</xdr:col>
      <xdr:colOff>94800</xdr:colOff>
      <xdr:row>60</xdr:row>
      <xdr:rowOff>142875</xdr:rowOff>
    </xdr:to>
    <xdr:sp macro="" textlink="">
      <xdr:nvSpPr>
        <xdr:cNvPr id="6" name="TextBox 5">
          <a:extLst>
            <a:ext uri="{FF2B5EF4-FFF2-40B4-BE49-F238E27FC236}">
              <a16:creationId xmlns:a16="http://schemas.microsoft.com/office/drawing/2014/main" id="{91BA577E-7B96-41EA-9EDE-951E7FFE6D5A}"/>
            </a:ext>
          </a:extLst>
        </xdr:cNvPr>
        <xdr:cNvSpPr txBox="1"/>
      </xdr:nvSpPr>
      <xdr:spPr>
        <a:xfrm>
          <a:off x="23060025" y="200024"/>
          <a:ext cx="3600000" cy="13458826"/>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Data Captured For</a:t>
          </a:r>
          <a:r>
            <a:rPr lang="en-GB" sz="1100" b="1" u="sng" baseline="0">
              <a:latin typeface="Aptos Narrow" panose="020B0004020202020204" pitchFamily="34" charset="0"/>
            </a:rPr>
            <a:t> First Three Columns (Simple VIs)</a:t>
          </a:r>
        </a:p>
        <a:p>
          <a:r>
            <a:rPr lang="en-GB" sz="1100" b="0" u="none">
              <a:latin typeface="Aptos Narrow" panose="020B0004020202020204" pitchFamily="34" charset="0"/>
            </a:rPr>
            <a:t>NR</a:t>
          </a:r>
        </a:p>
        <a:p>
          <a:r>
            <a:rPr lang="en-GB" sz="1100" b="0" u="none">
              <a:latin typeface="Aptos Narrow" panose="020B0004020202020204" pitchFamily="34" charset="0"/>
            </a:rPr>
            <a:t>0.061002</a:t>
          </a:r>
        </a:p>
        <a:p>
          <a:r>
            <a:rPr lang="en-GB" sz="1100" b="0" u="none">
              <a:latin typeface="Aptos Narrow" panose="020B0004020202020204" pitchFamily="34" charset="0"/>
            </a:rPr>
            <a:t>0.066146</a:t>
          </a:r>
        </a:p>
        <a:p>
          <a:r>
            <a:rPr lang="en-GB" sz="1100" b="0" u="none">
              <a:latin typeface="Aptos Narrow" panose="020B0004020202020204" pitchFamily="34" charset="0"/>
            </a:rPr>
            <a:t>0.062734</a:t>
          </a:r>
        </a:p>
        <a:p>
          <a:r>
            <a:rPr lang="en-GB" sz="1100" b="0" u="none">
              <a:latin typeface="Aptos Narrow" panose="020B0004020202020204" pitchFamily="34" charset="0"/>
            </a:rPr>
            <a:t>0.063042</a:t>
          </a:r>
        </a:p>
        <a:p>
          <a:r>
            <a:rPr lang="en-GB" sz="1100" b="0" u="none">
              <a:latin typeface="Aptos Narrow" panose="020B0004020202020204" pitchFamily="34" charset="0"/>
            </a:rPr>
            <a:t>0.078125</a:t>
          </a:r>
        </a:p>
        <a:p>
          <a:r>
            <a:rPr lang="en-GB" sz="1100" b="0" u="none">
              <a:latin typeface="Aptos Narrow" panose="020B0004020202020204" pitchFamily="34" charset="0"/>
            </a:rPr>
            <a:t>0.107928</a:t>
          </a:r>
        </a:p>
        <a:p>
          <a:r>
            <a:rPr lang="en-GB" sz="1100" b="0" u="none">
              <a:latin typeface="Aptos Narrow" panose="020B0004020202020204" pitchFamily="34" charset="0"/>
            </a:rPr>
            <a:t>0.065849</a:t>
          </a:r>
        </a:p>
        <a:p>
          <a:r>
            <a:rPr lang="en-GB" sz="1100" b="0" u="none">
              <a:latin typeface="Aptos Narrow" panose="020B0004020202020204" pitchFamily="34" charset="0"/>
            </a:rPr>
            <a:t>0.063151</a:t>
          </a:r>
        </a:p>
        <a:p>
          <a:r>
            <a:rPr lang="en-GB" sz="1100" b="0" u="none">
              <a:latin typeface="Aptos Narrow" panose="020B0004020202020204" pitchFamily="34" charset="0"/>
            </a:rPr>
            <a:t>0.063019</a:t>
          </a:r>
        </a:p>
        <a:p>
          <a:r>
            <a:rPr lang="en-GB" sz="1100" b="0" u="none">
              <a:latin typeface="Aptos Narrow" panose="020B0004020202020204" pitchFamily="34" charset="0"/>
            </a:rPr>
            <a:t>0.062913</a:t>
          </a:r>
        </a:p>
        <a:p>
          <a:r>
            <a:rPr lang="en-GB" sz="1100" b="0" u="none">
              <a:latin typeface="Aptos Narrow" panose="020B0004020202020204" pitchFamily="34" charset="0"/>
            </a:rPr>
            <a:t>0.060970</a:t>
          </a:r>
        </a:p>
        <a:p>
          <a:r>
            <a:rPr lang="en-GB" sz="1100" b="0" u="none">
              <a:latin typeface="Aptos Narrow" panose="020B0004020202020204" pitchFamily="34" charset="0"/>
            </a:rPr>
            <a:t>0.068008</a:t>
          </a:r>
        </a:p>
        <a:p>
          <a:r>
            <a:rPr lang="en-GB" sz="1100" b="0" u="none">
              <a:latin typeface="Aptos Narrow" panose="020B0004020202020204" pitchFamily="34" charset="0"/>
            </a:rPr>
            <a:t>0.061207</a:t>
          </a:r>
        </a:p>
        <a:p>
          <a:r>
            <a:rPr lang="en-GB" sz="1100" b="0" u="none">
              <a:latin typeface="Aptos Narrow" panose="020B0004020202020204" pitchFamily="34" charset="0"/>
            </a:rPr>
            <a:t>0.087657</a:t>
          </a:r>
        </a:p>
        <a:p>
          <a:r>
            <a:rPr lang="en-GB" sz="1100" b="0" u="none">
              <a:latin typeface="Aptos Narrow" panose="020B0004020202020204" pitchFamily="34" charset="0"/>
            </a:rPr>
            <a:t>0.061259</a:t>
          </a:r>
        </a:p>
        <a:p>
          <a:endParaRPr lang="en-GB" sz="1100" b="0" u="none">
            <a:latin typeface="Aptos Narrow" panose="020B0004020202020204" pitchFamily="34" charset="0"/>
          </a:endParaRPr>
        </a:p>
        <a:p>
          <a:r>
            <a:rPr lang="en-GB" sz="1100" b="0" u="none">
              <a:latin typeface="Aptos Narrow" panose="020B0004020202020204" pitchFamily="34" charset="0"/>
            </a:rPr>
            <a:t>SCR</a:t>
          </a:r>
        </a:p>
        <a:p>
          <a:r>
            <a:rPr lang="en-GB" sz="1100" b="0" u="none">
              <a:latin typeface="Aptos Narrow" panose="020B0004020202020204" pitchFamily="34" charset="0"/>
            </a:rPr>
            <a:t>0.069387</a:t>
          </a:r>
        </a:p>
        <a:p>
          <a:r>
            <a:rPr lang="en-GB" sz="1100" b="0" u="none">
              <a:latin typeface="Aptos Narrow" panose="020B0004020202020204" pitchFamily="34" charset="0"/>
            </a:rPr>
            <a:t>0.088253</a:t>
          </a:r>
        </a:p>
        <a:p>
          <a:r>
            <a:rPr lang="en-GB" sz="1100" b="0" u="none">
              <a:latin typeface="Aptos Narrow" panose="020B0004020202020204" pitchFamily="34" charset="0"/>
            </a:rPr>
            <a:t>0.071449</a:t>
          </a:r>
        </a:p>
        <a:p>
          <a:r>
            <a:rPr lang="en-GB" sz="1100" b="0" u="none">
              <a:latin typeface="Aptos Narrow" panose="020B0004020202020204" pitchFamily="34" charset="0"/>
            </a:rPr>
            <a:t>0.071496</a:t>
          </a:r>
        </a:p>
        <a:p>
          <a:r>
            <a:rPr lang="en-GB" sz="1100" b="0" u="none">
              <a:latin typeface="Aptos Narrow" panose="020B0004020202020204" pitchFamily="34" charset="0"/>
            </a:rPr>
            <a:t>0.070885</a:t>
          </a:r>
        </a:p>
        <a:p>
          <a:r>
            <a:rPr lang="en-GB" sz="1100" b="0" u="none">
              <a:latin typeface="Aptos Narrow" panose="020B0004020202020204" pitchFamily="34" charset="0"/>
            </a:rPr>
            <a:t>0.070861</a:t>
          </a:r>
        </a:p>
        <a:p>
          <a:r>
            <a:rPr lang="en-GB" sz="1100" b="0" u="none">
              <a:latin typeface="Aptos Narrow" panose="020B0004020202020204" pitchFamily="34" charset="0"/>
            </a:rPr>
            <a:t>0.067902</a:t>
          </a:r>
        </a:p>
        <a:p>
          <a:r>
            <a:rPr lang="en-GB" sz="1100" b="0" u="none">
              <a:latin typeface="Aptos Narrow" panose="020B0004020202020204" pitchFamily="34" charset="0"/>
            </a:rPr>
            <a:t>0.066947</a:t>
          </a:r>
        </a:p>
        <a:p>
          <a:r>
            <a:rPr lang="en-GB" sz="1100" b="0" u="none">
              <a:latin typeface="Aptos Narrow" panose="020B0004020202020204" pitchFamily="34" charset="0"/>
            </a:rPr>
            <a:t>0.109608</a:t>
          </a:r>
        </a:p>
        <a:p>
          <a:r>
            <a:rPr lang="en-GB" sz="1100" b="0" u="none">
              <a:latin typeface="Aptos Narrow" panose="020B0004020202020204" pitchFamily="34" charset="0"/>
            </a:rPr>
            <a:t>0.065314</a:t>
          </a:r>
        </a:p>
        <a:p>
          <a:r>
            <a:rPr lang="en-GB" sz="1100" b="0" u="none">
              <a:latin typeface="Aptos Narrow" panose="020B0004020202020204" pitchFamily="34" charset="0"/>
            </a:rPr>
            <a:t>0.070967</a:t>
          </a:r>
        </a:p>
        <a:p>
          <a:r>
            <a:rPr lang="en-GB" sz="1100" b="0" u="none">
              <a:latin typeface="Aptos Narrow" panose="020B0004020202020204" pitchFamily="34" charset="0"/>
            </a:rPr>
            <a:t>0.071319</a:t>
          </a:r>
        </a:p>
        <a:p>
          <a:r>
            <a:rPr lang="en-GB" sz="1100" b="0" u="none">
              <a:latin typeface="Aptos Narrow" panose="020B0004020202020204" pitchFamily="34" charset="0"/>
            </a:rPr>
            <a:t>0.064459</a:t>
          </a:r>
        </a:p>
        <a:p>
          <a:r>
            <a:rPr lang="en-GB" sz="1100" b="0" u="none">
              <a:latin typeface="Aptos Narrow" panose="020B0004020202020204" pitchFamily="34" charset="0"/>
            </a:rPr>
            <a:t>0.067509</a:t>
          </a:r>
        </a:p>
        <a:p>
          <a:r>
            <a:rPr lang="en-GB" sz="1100" b="0" u="none">
              <a:latin typeface="Aptos Narrow" panose="020B0004020202020204" pitchFamily="34" charset="0"/>
            </a:rPr>
            <a:t>0.069202</a:t>
          </a:r>
        </a:p>
        <a:p>
          <a:endParaRPr lang="en-GB" sz="1100" b="0" u="none">
            <a:latin typeface="Aptos Narrow" panose="020B0004020202020204" pitchFamily="34" charset="0"/>
          </a:endParaRPr>
        </a:p>
        <a:p>
          <a:r>
            <a:rPr lang="en-GB" sz="1100" b="0" u="none">
              <a:latin typeface="Aptos Narrow" panose="020B0004020202020204" pitchFamily="34" charset="0"/>
            </a:rPr>
            <a:t>PCR</a:t>
          </a:r>
        </a:p>
        <a:p>
          <a:r>
            <a:rPr lang="en-GB" sz="1100" b="0" u="none">
              <a:latin typeface="Aptos Narrow" panose="020B0004020202020204" pitchFamily="34" charset="0"/>
            </a:rPr>
            <a:t>0.029143</a:t>
          </a:r>
        </a:p>
        <a:p>
          <a:r>
            <a:rPr lang="en-GB" sz="1100" b="0" u="none">
              <a:latin typeface="Aptos Narrow" panose="020B0004020202020204" pitchFamily="34" charset="0"/>
            </a:rPr>
            <a:t>0.030950</a:t>
          </a:r>
        </a:p>
        <a:p>
          <a:r>
            <a:rPr lang="en-GB" sz="1100" b="0" u="none">
              <a:latin typeface="Aptos Narrow" panose="020B0004020202020204" pitchFamily="34" charset="0"/>
            </a:rPr>
            <a:t>0.032685</a:t>
          </a:r>
        </a:p>
        <a:p>
          <a:r>
            <a:rPr lang="en-GB" sz="1100" b="0" u="none">
              <a:latin typeface="Aptos Narrow" panose="020B0004020202020204" pitchFamily="34" charset="0"/>
            </a:rPr>
            <a:t>0.033625</a:t>
          </a:r>
        </a:p>
        <a:p>
          <a:r>
            <a:rPr lang="en-GB" sz="1100" b="0" u="none">
              <a:latin typeface="Aptos Narrow" panose="020B0004020202020204" pitchFamily="34" charset="0"/>
            </a:rPr>
            <a:t>0.031021</a:t>
          </a:r>
        </a:p>
        <a:p>
          <a:r>
            <a:rPr lang="en-GB" sz="1100" b="0" u="none">
              <a:latin typeface="Aptos Narrow" panose="020B0004020202020204" pitchFamily="34" charset="0"/>
            </a:rPr>
            <a:t>0.029322</a:t>
          </a:r>
        </a:p>
        <a:p>
          <a:r>
            <a:rPr lang="en-GB" sz="1100" b="0" u="none">
              <a:latin typeface="Aptos Narrow" panose="020B0004020202020204" pitchFamily="34" charset="0"/>
            </a:rPr>
            <a:t>0.029758</a:t>
          </a:r>
        </a:p>
        <a:p>
          <a:r>
            <a:rPr lang="en-GB" sz="1100" b="0" u="none">
              <a:latin typeface="Aptos Narrow" panose="020B0004020202020204" pitchFamily="34" charset="0"/>
            </a:rPr>
            <a:t>0.030334</a:t>
          </a:r>
        </a:p>
        <a:p>
          <a:r>
            <a:rPr lang="en-GB" sz="1100" b="0" u="none">
              <a:latin typeface="Aptos Narrow" panose="020B0004020202020204" pitchFamily="34" charset="0"/>
            </a:rPr>
            <a:t>0.039293</a:t>
          </a:r>
        </a:p>
        <a:p>
          <a:r>
            <a:rPr lang="en-GB" sz="1100" b="0" u="none">
              <a:latin typeface="Aptos Narrow" panose="020B0004020202020204" pitchFamily="34" charset="0"/>
            </a:rPr>
            <a:t>0.031245</a:t>
          </a:r>
        </a:p>
        <a:p>
          <a:r>
            <a:rPr lang="en-GB" sz="1100" b="0" u="none">
              <a:latin typeface="Aptos Narrow" panose="020B0004020202020204" pitchFamily="34" charset="0"/>
            </a:rPr>
            <a:t>0.031984</a:t>
          </a:r>
        </a:p>
        <a:p>
          <a:r>
            <a:rPr lang="en-GB" sz="1100" b="0" u="none">
              <a:latin typeface="Aptos Narrow" panose="020B0004020202020204" pitchFamily="34" charset="0"/>
            </a:rPr>
            <a:t>0.029950</a:t>
          </a:r>
        </a:p>
        <a:p>
          <a:r>
            <a:rPr lang="en-GB" sz="1100" b="0" u="none">
              <a:latin typeface="Aptos Narrow" panose="020B0004020202020204" pitchFamily="34" charset="0"/>
            </a:rPr>
            <a:t>0.033083</a:t>
          </a:r>
        </a:p>
        <a:p>
          <a:r>
            <a:rPr lang="en-GB" sz="1100" b="0" u="none">
              <a:latin typeface="Aptos Narrow" panose="020B0004020202020204" pitchFamily="34" charset="0"/>
            </a:rPr>
            <a:t>0.032816</a:t>
          </a:r>
        </a:p>
        <a:p>
          <a:r>
            <a:rPr lang="en-GB" sz="1100" b="0" u="none">
              <a:latin typeface="Aptos Narrow" panose="020B0004020202020204" pitchFamily="34" charset="0"/>
            </a:rPr>
            <a:t>0.031108</a:t>
          </a:r>
        </a:p>
      </xdr:txBody>
    </xdr:sp>
    <xdr:clientData/>
  </xdr:twoCellAnchor>
  <xdr:twoCellAnchor>
    <xdr:from>
      <xdr:col>34</xdr:col>
      <xdr:colOff>342899</xdr:colOff>
      <xdr:row>0</xdr:row>
      <xdr:rowOff>200024</xdr:rowOff>
    </xdr:from>
    <xdr:to>
      <xdr:col>40</xdr:col>
      <xdr:colOff>399599</xdr:colOff>
      <xdr:row>60</xdr:row>
      <xdr:rowOff>142875</xdr:rowOff>
    </xdr:to>
    <xdr:sp macro="" textlink="">
      <xdr:nvSpPr>
        <xdr:cNvPr id="7" name="TextBox 6">
          <a:extLst>
            <a:ext uri="{FF2B5EF4-FFF2-40B4-BE49-F238E27FC236}">
              <a16:creationId xmlns:a16="http://schemas.microsoft.com/office/drawing/2014/main" id="{B91FFAD7-CCFF-4959-89EB-D208621E622B}"/>
            </a:ext>
          </a:extLst>
        </xdr:cNvPr>
        <xdr:cNvSpPr txBox="1"/>
      </xdr:nvSpPr>
      <xdr:spPr>
        <a:xfrm>
          <a:off x="30451424" y="200024"/>
          <a:ext cx="3600000" cy="13458826"/>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Data Captured For</a:t>
          </a:r>
          <a:r>
            <a:rPr lang="en-GB" sz="1100" b="1" u="sng" baseline="0">
              <a:latin typeface="Aptos Narrow" panose="020B0004020202020204" pitchFamily="34" charset="0"/>
            </a:rPr>
            <a:t> Next Three Columns (Complex VIs)</a:t>
          </a:r>
          <a:endParaRPr lang="en-GB" sz="1100" b="1" u="sng">
            <a:latin typeface="Aptos Narrow" panose="020B0004020202020204" pitchFamily="34" charset="0"/>
          </a:endParaRPr>
        </a:p>
        <a:p>
          <a:r>
            <a:rPr lang="en-GB" sz="1100">
              <a:latin typeface="Aptos Narrow" panose="020B0004020202020204" pitchFamily="34" charset="0"/>
            </a:rPr>
            <a:t>NR</a:t>
          </a:r>
        </a:p>
        <a:p>
          <a:r>
            <a:rPr lang="en-GB" sz="1100">
              <a:latin typeface="Aptos Narrow" panose="020B0004020202020204" pitchFamily="34" charset="0"/>
            </a:rPr>
            <a:t>0.788093</a:t>
          </a:r>
        </a:p>
        <a:p>
          <a:r>
            <a:rPr lang="en-GB" sz="1100">
              <a:latin typeface="Aptos Narrow" panose="020B0004020202020204" pitchFamily="34" charset="0"/>
            </a:rPr>
            <a:t>0.815433</a:t>
          </a:r>
        </a:p>
        <a:p>
          <a:r>
            <a:rPr lang="en-GB" sz="1100">
              <a:latin typeface="Aptos Narrow" panose="020B0004020202020204" pitchFamily="34" charset="0"/>
            </a:rPr>
            <a:t>0.815216</a:t>
          </a:r>
        </a:p>
        <a:p>
          <a:r>
            <a:rPr lang="en-GB" sz="1100">
              <a:latin typeface="Aptos Narrow" panose="020B0004020202020204" pitchFamily="34" charset="0"/>
            </a:rPr>
            <a:t>0.815535</a:t>
          </a:r>
        </a:p>
        <a:p>
          <a:r>
            <a:rPr lang="en-GB" sz="1100">
              <a:latin typeface="Aptos Narrow" panose="020B0004020202020204" pitchFamily="34" charset="0"/>
            </a:rPr>
            <a:t>0.795484</a:t>
          </a:r>
        </a:p>
        <a:p>
          <a:r>
            <a:rPr lang="en-GB" sz="1100">
              <a:latin typeface="Aptos Narrow" panose="020B0004020202020204" pitchFamily="34" charset="0"/>
            </a:rPr>
            <a:t>0.797536</a:t>
          </a:r>
        </a:p>
        <a:p>
          <a:r>
            <a:rPr lang="en-GB" sz="1100">
              <a:latin typeface="Aptos Narrow" panose="020B0004020202020204" pitchFamily="34" charset="0"/>
            </a:rPr>
            <a:t>0.821585</a:t>
          </a:r>
        </a:p>
        <a:p>
          <a:r>
            <a:rPr lang="en-GB" sz="1100">
              <a:latin typeface="Aptos Narrow" panose="020B0004020202020204" pitchFamily="34" charset="0"/>
            </a:rPr>
            <a:t>0.795000</a:t>
          </a:r>
        </a:p>
        <a:p>
          <a:r>
            <a:rPr lang="en-GB" sz="1100">
              <a:latin typeface="Aptos Narrow" panose="020B0004020202020204" pitchFamily="34" charset="0"/>
            </a:rPr>
            <a:t>0.798540</a:t>
          </a:r>
        </a:p>
        <a:p>
          <a:r>
            <a:rPr lang="en-GB" sz="1100">
              <a:latin typeface="Aptos Narrow" panose="020B0004020202020204" pitchFamily="34" charset="0"/>
            </a:rPr>
            <a:t>0.797407</a:t>
          </a:r>
        </a:p>
        <a:p>
          <a:r>
            <a:rPr lang="en-GB" sz="1100">
              <a:latin typeface="Aptos Narrow" panose="020B0004020202020204" pitchFamily="34" charset="0"/>
            </a:rPr>
            <a:t>0.801669</a:t>
          </a:r>
        </a:p>
        <a:p>
          <a:r>
            <a:rPr lang="en-GB" sz="1100">
              <a:latin typeface="Aptos Narrow" panose="020B0004020202020204" pitchFamily="34" charset="0"/>
            </a:rPr>
            <a:t>0.793329</a:t>
          </a:r>
        </a:p>
        <a:p>
          <a:r>
            <a:rPr lang="en-GB" sz="1100">
              <a:latin typeface="Aptos Narrow" panose="020B0004020202020204" pitchFamily="34" charset="0"/>
            </a:rPr>
            <a:t>0.796287</a:t>
          </a:r>
        </a:p>
        <a:p>
          <a:r>
            <a:rPr lang="en-GB" sz="1100">
              <a:latin typeface="Aptos Narrow" panose="020B0004020202020204" pitchFamily="34" charset="0"/>
            </a:rPr>
            <a:t>0.802536</a:t>
          </a:r>
        </a:p>
        <a:p>
          <a:r>
            <a:rPr lang="en-GB" sz="1100">
              <a:latin typeface="Aptos Narrow" panose="020B0004020202020204" pitchFamily="34" charset="0"/>
            </a:rPr>
            <a:t>0.816954</a:t>
          </a:r>
        </a:p>
        <a:p>
          <a:endParaRPr lang="en-GB" sz="1100">
            <a:latin typeface="Aptos Narrow" panose="020B0004020202020204" pitchFamily="34" charset="0"/>
          </a:endParaRPr>
        </a:p>
        <a:p>
          <a:r>
            <a:rPr lang="en-GB" sz="1100">
              <a:latin typeface="Aptos Narrow" panose="020B0004020202020204" pitchFamily="34" charset="0"/>
            </a:rPr>
            <a:t>SCR</a:t>
          </a:r>
        </a:p>
        <a:p>
          <a:r>
            <a:rPr lang="en-GB" sz="1100">
              <a:latin typeface="Aptos Narrow" panose="020B0004020202020204" pitchFamily="34" charset="0"/>
            </a:rPr>
            <a:t>0.800677</a:t>
          </a:r>
        </a:p>
        <a:p>
          <a:r>
            <a:rPr lang="en-GB" sz="1100">
              <a:latin typeface="Aptos Narrow" panose="020B0004020202020204" pitchFamily="34" charset="0"/>
            </a:rPr>
            <a:t>0.825641</a:t>
          </a:r>
        </a:p>
        <a:p>
          <a:r>
            <a:rPr lang="en-GB" sz="1100">
              <a:latin typeface="Aptos Narrow" panose="020B0004020202020204" pitchFamily="34" charset="0"/>
            </a:rPr>
            <a:t>0.797166</a:t>
          </a:r>
        </a:p>
        <a:p>
          <a:r>
            <a:rPr lang="en-GB" sz="1100">
              <a:latin typeface="Aptos Narrow" panose="020B0004020202020204" pitchFamily="34" charset="0"/>
            </a:rPr>
            <a:t>0.799825</a:t>
          </a:r>
        </a:p>
        <a:p>
          <a:r>
            <a:rPr lang="en-GB" sz="1100">
              <a:latin typeface="Aptos Narrow" panose="020B0004020202020204" pitchFamily="34" charset="0"/>
            </a:rPr>
            <a:t>0.805878</a:t>
          </a:r>
        </a:p>
        <a:p>
          <a:r>
            <a:rPr lang="en-GB" sz="1100">
              <a:latin typeface="Aptos Narrow" panose="020B0004020202020204" pitchFamily="34" charset="0"/>
            </a:rPr>
            <a:t>0.815079</a:t>
          </a:r>
        </a:p>
        <a:p>
          <a:r>
            <a:rPr lang="en-GB" sz="1100">
              <a:latin typeface="Aptos Narrow" panose="020B0004020202020204" pitchFamily="34" charset="0"/>
            </a:rPr>
            <a:t>0.802909</a:t>
          </a:r>
        </a:p>
        <a:p>
          <a:r>
            <a:rPr lang="en-GB" sz="1100">
              <a:latin typeface="Aptos Narrow" panose="020B0004020202020204" pitchFamily="34" charset="0"/>
            </a:rPr>
            <a:t>0.805482</a:t>
          </a:r>
        </a:p>
        <a:p>
          <a:r>
            <a:rPr lang="en-GB" sz="1100">
              <a:latin typeface="Aptos Narrow" panose="020B0004020202020204" pitchFamily="34" charset="0"/>
            </a:rPr>
            <a:t>0.804516</a:t>
          </a:r>
        </a:p>
        <a:p>
          <a:r>
            <a:rPr lang="en-GB" sz="1100">
              <a:latin typeface="Aptos Narrow" panose="020B0004020202020204" pitchFamily="34" charset="0"/>
            </a:rPr>
            <a:t>0.808384</a:t>
          </a:r>
        </a:p>
        <a:p>
          <a:r>
            <a:rPr lang="en-GB" sz="1100">
              <a:latin typeface="Aptos Narrow" panose="020B0004020202020204" pitchFamily="34" charset="0"/>
            </a:rPr>
            <a:t>0.801782</a:t>
          </a:r>
        </a:p>
        <a:p>
          <a:r>
            <a:rPr lang="en-GB" sz="1100">
              <a:latin typeface="Aptos Narrow" panose="020B0004020202020204" pitchFamily="34" charset="0"/>
            </a:rPr>
            <a:t>0.828056</a:t>
          </a:r>
        </a:p>
        <a:p>
          <a:r>
            <a:rPr lang="en-GB" sz="1100">
              <a:latin typeface="Aptos Narrow" panose="020B0004020202020204" pitchFamily="34" charset="0"/>
            </a:rPr>
            <a:t>0.814122</a:t>
          </a:r>
        </a:p>
        <a:p>
          <a:r>
            <a:rPr lang="en-GB" sz="1100">
              <a:latin typeface="Aptos Narrow" panose="020B0004020202020204" pitchFamily="34" charset="0"/>
            </a:rPr>
            <a:t>0.811258</a:t>
          </a:r>
        </a:p>
        <a:p>
          <a:r>
            <a:rPr lang="en-GB" sz="1100">
              <a:latin typeface="Aptos Narrow" panose="020B0004020202020204" pitchFamily="34" charset="0"/>
            </a:rPr>
            <a:t>0.802619</a:t>
          </a:r>
        </a:p>
        <a:p>
          <a:endParaRPr lang="en-GB" sz="1100">
            <a:latin typeface="Aptos Narrow" panose="020B0004020202020204" pitchFamily="34" charset="0"/>
          </a:endParaRPr>
        </a:p>
        <a:p>
          <a:r>
            <a:rPr lang="en-GB" sz="1100">
              <a:latin typeface="Aptos Narrow" panose="020B0004020202020204" pitchFamily="34" charset="0"/>
            </a:rPr>
            <a:t>PCR</a:t>
          </a:r>
        </a:p>
        <a:p>
          <a:r>
            <a:rPr lang="en-GB" sz="1100">
              <a:latin typeface="Aptos Narrow" panose="020B0004020202020204" pitchFamily="34" charset="0"/>
            </a:rPr>
            <a:t>0.765096</a:t>
          </a:r>
        </a:p>
        <a:p>
          <a:r>
            <a:rPr lang="en-GB" sz="1100">
              <a:latin typeface="Aptos Narrow" panose="020B0004020202020204" pitchFamily="34" charset="0"/>
            </a:rPr>
            <a:t>0.763316</a:t>
          </a:r>
        </a:p>
        <a:p>
          <a:r>
            <a:rPr lang="en-GB" sz="1100">
              <a:latin typeface="Aptos Narrow" panose="020B0004020202020204" pitchFamily="34" charset="0"/>
            </a:rPr>
            <a:t>0.759996</a:t>
          </a:r>
        </a:p>
        <a:p>
          <a:r>
            <a:rPr lang="en-GB" sz="1100">
              <a:latin typeface="Aptos Narrow" panose="020B0004020202020204" pitchFamily="34" charset="0"/>
            </a:rPr>
            <a:t>0.762578</a:t>
          </a:r>
        </a:p>
        <a:p>
          <a:r>
            <a:rPr lang="en-GB" sz="1100">
              <a:latin typeface="Aptos Narrow" panose="020B0004020202020204" pitchFamily="34" charset="0"/>
            </a:rPr>
            <a:t>0.764596</a:t>
          </a:r>
        </a:p>
        <a:p>
          <a:r>
            <a:rPr lang="en-GB" sz="1100">
              <a:latin typeface="Aptos Narrow" panose="020B0004020202020204" pitchFamily="34" charset="0"/>
            </a:rPr>
            <a:t>0.761994</a:t>
          </a:r>
        </a:p>
        <a:p>
          <a:r>
            <a:rPr lang="en-GB" sz="1100">
              <a:latin typeface="Aptos Narrow" panose="020B0004020202020204" pitchFamily="34" charset="0"/>
            </a:rPr>
            <a:t>0.767192</a:t>
          </a:r>
        </a:p>
        <a:p>
          <a:r>
            <a:rPr lang="en-GB" sz="1100">
              <a:latin typeface="Aptos Narrow" panose="020B0004020202020204" pitchFamily="34" charset="0"/>
            </a:rPr>
            <a:t>0.759286</a:t>
          </a:r>
        </a:p>
        <a:p>
          <a:r>
            <a:rPr lang="en-GB" sz="1100">
              <a:latin typeface="Aptos Narrow" panose="020B0004020202020204" pitchFamily="34" charset="0"/>
            </a:rPr>
            <a:t>0.764693</a:t>
          </a:r>
        </a:p>
        <a:p>
          <a:r>
            <a:rPr lang="en-GB" sz="1100">
              <a:latin typeface="Aptos Narrow" panose="020B0004020202020204" pitchFamily="34" charset="0"/>
            </a:rPr>
            <a:t>0.762331</a:t>
          </a:r>
        </a:p>
        <a:p>
          <a:r>
            <a:rPr lang="en-GB" sz="1100">
              <a:latin typeface="Aptos Narrow" panose="020B0004020202020204" pitchFamily="34" charset="0"/>
            </a:rPr>
            <a:t>0.779358</a:t>
          </a:r>
        </a:p>
        <a:p>
          <a:r>
            <a:rPr lang="en-GB" sz="1100">
              <a:latin typeface="Aptos Narrow" panose="020B0004020202020204" pitchFamily="34" charset="0"/>
            </a:rPr>
            <a:t>0.767088</a:t>
          </a:r>
        </a:p>
        <a:p>
          <a:r>
            <a:rPr lang="en-GB" sz="1100">
              <a:latin typeface="Aptos Narrow" panose="020B0004020202020204" pitchFamily="34" charset="0"/>
            </a:rPr>
            <a:t>0.760866</a:t>
          </a:r>
        </a:p>
        <a:p>
          <a:r>
            <a:rPr lang="en-GB" sz="1100">
              <a:latin typeface="Aptos Narrow" panose="020B0004020202020204" pitchFamily="34" charset="0"/>
            </a:rPr>
            <a:t>0.777814</a:t>
          </a:r>
        </a:p>
        <a:p>
          <a:r>
            <a:rPr lang="en-GB" sz="1100">
              <a:latin typeface="Aptos Narrow" panose="020B0004020202020204" pitchFamily="34" charset="0"/>
            </a:rPr>
            <a:t>0.768620</a:t>
          </a:r>
        </a:p>
      </xdr:txBody>
    </xdr:sp>
    <xdr:clientData/>
  </xdr:twoCellAnchor>
  <xdr:twoCellAnchor>
    <xdr:from>
      <xdr:col>8</xdr:col>
      <xdr:colOff>686918</xdr:colOff>
      <xdr:row>24</xdr:row>
      <xdr:rowOff>128587</xdr:rowOff>
    </xdr:from>
    <xdr:to>
      <xdr:col>10</xdr:col>
      <xdr:colOff>808029</xdr:colOff>
      <xdr:row>39</xdr:row>
      <xdr:rowOff>14287</xdr:rowOff>
    </xdr:to>
    <xdr:graphicFrame macro="">
      <xdr:nvGraphicFramePr>
        <xdr:cNvPr id="8" name="Chart 7">
          <a:extLst>
            <a:ext uri="{FF2B5EF4-FFF2-40B4-BE49-F238E27FC236}">
              <a16:creationId xmlns:a16="http://schemas.microsoft.com/office/drawing/2014/main" id="{716299AC-D6DA-4D23-B297-824920819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238125</xdr:colOff>
      <xdr:row>0</xdr:row>
      <xdr:rowOff>200025</xdr:rowOff>
    </xdr:from>
    <xdr:to>
      <xdr:col>15</xdr:col>
      <xdr:colOff>523200</xdr:colOff>
      <xdr:row>12</xdr:row>
      <xdr:rowOff>108858</xdr:rowOff>
    </xdr:to>
    <xdr:sp macro="" textlink="">
      <xdr:nvSpPr>
        <xdr:cNvPr id="2" name="TextBox 1">
          <a:extLst>
            <a:ext uri="{FF2B5EF4-FFF2-40B4-BE49-F238E27FC236}">
              <a16:creationId xmlns:a16="http://schemas.microsoft.com/office/drawing/2014/main" id="{2BE9B4F5-92A1-42C2-9104-DEBAD706CF4C}"/>
            </a:ext>
          </a:extLst>
        </xdr:cNvPr>
        <xdr:cNvSpPr txBox="1"/>
      </xdr:nvSpPr>
      <xdr:spPr>
        <a:xfrm>
          <a:off x="16764000" y="200025"/>
          <a:ext cx="6190575" cy="2909208"/>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3.vi</a:t>
          </a:r>
        </a:p>
        <a:p>
          <a:r>
            <a:rPr lang="en-GB" sz="1100">
              <a:latin typeface="Aptos Narrow" panose="020B0004020202020204" pitchFamily="34" charset="0"/>
            </a:rPr>
            <a:t>Machine: Surface Laptop 4</a:t>
          </a:r>
        </a:p>
        <a:p>
          <a:r>
            <a:rPr lang="en-GB" sz="1100">
              <a:latin typeface="Aptos Narrow" panose="020B0004020202020204" pitchFamily="34" charset="0"/>
            </a:rPr>
            <a:t>Date: 08 September 2026</a:t>
          </a:r>
        </a:p>
        <a:p>
          <a:endParaRPr lang="en-GB" sz="1100">
            <a:latin typeface="Aptos Narrow" panose="020B0004020202020204" pitchFamily="34" charset="0"/>
          </a:endParaRPr>
        </a:p>
        <a:p>
          <a:r>
            <a:rPr lang="en-GB" sz="1100">
              <a:solidFill>
                <a:schemeClr val="dk1"/>
              </a:solidFill>
              <a:effectLst/>
              <a:latin typeface="+mn-lt"/>
              <a:ea typeface="+mn-ea"/>
              <a:cs typeface="+mn-cs"/>
            </a:rPr>
            <a:t>Experiment 3. For loop: 1 million iterations.</a:t>
          </a:r>
          <a:r>
            <a:rPr lang="en-GB" sz="1100" baseline="0">
              <a:solidFill>
                <a:schemeClr val="dk1"/>
              </a:solidFill>
              <a:effectLst/>
              <a:latin typeface="+mn-lt"/>
              <a:ea typeface="+mn-ea"/>
              <a:cs typeface="+mn-cs"/>
            </a:rPr>
            <a:t> Like Experiment 2, but this time two chained subVIs are called inside each for loop iteration: Simple complexity and Medium complexity.</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 On average, 161 CPU instructions were saved for each iteration when executing a chain of PCR + PCR VIs instead of NR + NR VIs. This is slightly higher than any of the metrics recorded in Experiment 2 (112 and 142 for simple and medium VIs respectively). This suggests that there are savings made for each of the two VI calls inside each iteration.</a:t>
          </a:r>
          <a:endParaRPr lang="en-GB">
            <a:effectLst/>
          </a:endParaRPr>
        </a:p>
      </xdr:txBody>
    </xdr:sp>
    <xdr:clientData/>
  </xdr:twoCellAnchor>
  <xdr:twoCellAnchor>
    <xdr:from>
      <xdr:col>2</xdr:col>
      <xdr:colOff>400051</xdr:colOff>
      <xdr:row>24</xdr:row>
      <xdr:rowOff>71437</xdr:rowOff>
    </xdr:from>
    <xdr:to>
      <xdr:col>4</xdr:col>
      <xdr:colOff>1237801</xdr:colOff>
      <xdr:row>38</xdr:row>
      <xdr:rowOff>147637</xdr:rowOff>
    </xdr:to>
    <xdr:graphicFrame macro="">
      <xdr:nvGraphicFramePr>
        <xdr:cNvPr id="3" name="Chart 2">
          <a:extLst>
            <a:ext uri="{FF2B5EF4-FFF2-40B4-BE49-F238E27FC236}">
              <a16:creationId xmlns:a16="http://schemas.microsoft.com/office/drawing/2014/main" id="{3CC264A0-304F-4915-968C-52BF5701E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238125</xdr:colOff>
      <xdr:row>0</xdr:row>
      <xdr:rowOff>200025</xdr:rowOff>
    </xdr:from>
    <xdr:to>
      <xdr:col>15</xdr:col>
      <xdr:colOff>523200</xdr:colOff>
      <xdr:row>10</xdr:row>
      <xdr:rowOff>0</xdr:rowOff>
    </xdr:to>
    <xdr:sp macro="" textlink="">
      <xdr:nvSpPr>
        <xdr:cNvPr id="2" name="TextBox 1">
          <a:extLst>
            <a:ext uri="{FF2B5EF4-FFF2-40B4-BE49-F238E27FC236}">
              <a16:creationId xmlns:a16="http://schemas.microsoft.com/office/drawing/2014/main" id="{47373E66-E642-46C6-BDAC-ED9D0DB234BF}"/>
            </a:ext>
          </a:extLst>
        </xdr:cNvPr>
        <xdr:cNvSpPr txBox="1"/>
      </xdr:nvSpPr>
      <xdr:spPr>
        <a:xfrm>
          <a:off x="9144000" y="200025"/>
          <a:ext cx="8562300" cy="2038350"/>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4.vi</a:t>
          </a:r>
        </a:p>
        <a:p>
          <a:r>
            <a:rPr lang="en-GB" sz="1100">
              <a:latin typeface="Aptos Narrow" panose="020B0004020202020204" pitchFamily="34" charset="0"/>
            </a:rPr>
            <a:t>Machine: Surface Laptop 4</a:t>
          </a:r>
        </a:p>
        <a:p>
          <a:r>
            <a:rPr lang="en-GB" sz="1100">
              <a:latin typeface="Aptos Narrow" panose="020B0004020202020204" pitchFamily="34" charset="0"/>
            </a:rPr>
            <a:t>Date: 08 September 2026</a:t>
          </a:r>
        </a:p>
        <a:p>
          <a:endParaRPr lang="en-GB" sz="1100">
            <a:latin typeface="Aptos Narrow" panose="020B0004020202020204" pitchFamily="34" charset="0"/>
          </a:endParaRPr>
        </a:p>
        <a:p>
          <a:r>
            <a:rPr lang="en-GB" sz="1100">
              <a:solidFill>
                <a:schemeClr val="dk1"/>
              </a:solidFill>
              <a:effectLst/>
              <a:latin typeface="+mn-lt"/>
              <a:ea typeface="+mn-ea"/>
              <a:cs typeface="+mn-cs"/>
            </a:rPr>
            <a:t>Experiment 4. For loop: 1 million iterations.</a:t>
          </a:r>
          <a:r>
            <a:rPr lang="en-GB" sz="1100" baseline="0">
              <a:solidFill>
                <a:schemeClr val="dk1"/>
              </a:solidFill>
              <a:effectLst/>
              <a:latin typeface="+mn-lt"/>
              <a:ea typeface="+mn-ea"/>
              <a:cs typeface="+mn-cs"/>
            </a:rPr>
            <a:t> Like Experiment 3, but this time </a:t>
          </a:r>
          <a:r>
            <a:rPr lang="en-GB" sz="1100" b="1" baseline="0">
              <a:solidFill>
                <a:schemeClr val="dk1"/>
              </a:solidFill>
              <a:effectLst/>
              <a:latin typeface="+mn-lt"/>
              <a:ea typeface="+mn-ea"/>
              <a:cs typeface="+mn-cs"/>
            </a:rPr>
            <a:t>three</a:t>
          </a:r>
          <a:r>
            <a:rPr lang="en-GB" sz="1100" baseline="0">
              <a:solidFill>
                <a:schemeClr val="dk1"/>
              </a:solidFill>
              <a:effectLst/>
              <a:latin typeface="+mn-lt"/>
              <a:ea typeface="+mn-ea"/>
              <a:cs typeface="+mn-cs"/>
            </a:rPr>
            <a:t> chained subVIs are called inside each for loop iteration: Simple complexity, Medium complexity, and High complexity.</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 On average, 319 CPU instructions were saved for each iteration when executing a chain of PCR + PCR + PCR VIs instead of NR + NR + NR VIs. This suggests that there are savings made for each of the three VI calls inside each iteration.</a:t>
          </a:r>
          <a:endParaRPr lang="en-GB">
            <a:effectLst/>
          </a:endParaRPr>
        </a:p>
      </xdr:txBody>
    </xdr:sp>
    <xdr:clientData/>
  </xdr:twoCellAnchor>
  <xdr:twoCellAnchor>
    <xdr:from>
      <xdr:col>2</xdr:col>
      <xdr:colOff>457201</xdr:colOff>
      <xdr:row>24</xdr:row>
      <xdr:rowOff>90487</xdr:rowOff>
    </xdr:from>
    <xdr:to>
      <xdr:col>4</xdr:col>
      <xdr:colOff>1294951</xdr:colOff>
      <xdr:row>38</xdr:row>
      <xdr:rowOff>166687</xdr:rowOff>
    </xdr:to>
    <xdr:graphicFrame macro="">
      <xdr:nvGraphicFramePr>
        <xdr:cNvPr id="3" name="Chart 2">
          <a:extLst>
            <a:ext uri="{FF2B5EF4-FFF2-40B4-BE49-F238E27FC236}">
              <a16:creationId xmlns:a16="http://schemas.microsoft.com/office/drawing/2014/main" id="{6715DBC1-BE31-4103-9B0D-D5DAD3007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238125</xdr:colOff>
      <xdr:row>0</xdr:row>
      <xdr:rowOff>200025</xdr:rowOff>
    </xdr:from>
    <xdr:to>
      <xdr:col>14</xdr:col>
      <xdr:colOff>523200</xdr:colOff>
      <xdr:row>10</xdr:row>
      <xdr:rowOff>0</xdr:rowOff>
    </xdr:to>
    <xdr:sp macro="" textlink="">
      <xdr:nvSpPr>
        <xdr:cNvPr id="2" name="TextBox 1">
          <a:extLst>
            <a:ext uri="{FF2B5EF4-FFF2-40B4-BE49-F238E27FC236}">
              <a16:creationId xmlns:a16="http://schemas.microsoft.com/office/drawing/2014/main" id="{58D10116-1FEC-45AE-AA29-2F76883876EE}"/>
            </a:ext>
          </a:extLst>
        </xdr:cNvPr>
        <xdr:cNvSpPr txBox="1"/>
      </xdr:nvSpPr>
      <xdr:spPr>
        <a:xfrm>
          <a:off x="9144000" y="200025"/>
          <a:ext cx="8562300" cy="2038350"/>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5.vi</a:t>
          </a:r>
        </a:p>
        <a:p>
          <a:r>
            <a:rPr lang="en-GB" sz="1100">
              <a:latin typeface="Aptos Narrow" panose="020B0004020202020204" pitchFamily="34" charset="0"/>
            </a:rPr>
            <a:t>Machine: Surface Laptop 4</a:t>
          </a:r>
        </a:p>
        <a:p>
          <a:r>
            <a:rPr lang="en-GB" sz="1100">
              <a:latin typeface="Aptos Narrow" panose="020B0004020202020204" pitchFamily="34" charset="0"/>
            </a:rPr>
            <a:t>Date: 08 September 2026</a:t>
          </a:r>
        </a:p>
        <a:p>
          <a:endParaRPr lang="en-GB" sz="1100">
            <a:latin typeface="Aptos Narrow" panose="020B0004020202020204" pitchFamily="34" charset="0"/>
          </a:endParaRPr>
        </a:p>
        <a:p>
          <a:r>
            <a:rPr lang="en-GB" sz="1100">
              <a:solidFill>
                <a:schemeClr val="dk1"/>
              </a:solidFill>
              <a:effectLst/>
              <a:latin typeface="+mn-lt"/>
              <a:ea typeface="+mn-ea"/>
              <a:cs typeface="+mn-cs"/>
            </a:rPr>
            <a:t>Experiment 5. For loop: 1 million iterations.</a:t>
          </a:r>
          <a:r>
            <a:rPr lang="en-GB" sz="1100" baseline="0">
              <a:solidFill>
                <a:schemeClr val="dk1"/>
              </a:solidFill>
              <a:effectLst/>
              <a:latin typeface="+mn-lt"/>
              <a:ea typeface="+mn-ea"/>
              <a:cs typeface="+mn-cs"/>
            </a:rPr>
            <a:t> Like Experiment 4, but this time the </a:t>
          </a:r>
          <a:r>
            <a:rPr lang="en-GB" sz="1100" b="1" baseline="0">
              <a:solidFill>
                <a:schemeClr val="dk1"/>
              </a:solidFill>
              <a:effectLst/>
              <a:latin typeface="+mn-lt"/>
              <a:ea typeface="+mn-ea"/>
              <a:cs typeface="+mn-cs"/>
            </a:rPr>
            <a:t>three</a:t>
          </a:r>
          <a:r>
            <a:rPr lang="en-GB" sz="1100" baseline="0">
              <a:solidFill>
                <a:schemeClr val="dk1"/>
              </a:solidFill>
              <a:effectLst/>
              <a:latin typeface="+mn-lt"/>
              <a:ea typeface="+mn-ea"/>
              <a:cs typeface="+mn-cs"/>
            </a:rPr>
            <a:t> chained subVIs are repeated 5 times, for a total of 15 VI calls inside each iteration.</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 The results suggests that there are savings made for each and every VI call inside each iteration. The savings add up linearly, as expected. Percentwise, the savings remained similar (12%) to those in Experiment 4 (13%), as expected. The number of CPU instructions saved per subVI call is roughly 100 CPU instructions (1471 / 15 VI calls in each iteration).</a:t>
          </a:r>
          <a:endParaRPr lang="en-GB">
            <a:effectLst/>
          </a:endParaRPr>
        </a:p>
      </xdr:txBody>
    </xdr:sp>
    <xdr:clientData/>
  </xdr:twoCellAnchor>
  <xdr:twoCellAnchor>
    <xdr:from>
      <xdr:col>0</xdr:col>
      <xdr:colOff>3829049</xdr:colOff>
      <xdr:row>24</xdr:row>
      <xdr:rowOff>138112</xdr:rowOff>
    </xdr:from>
    <xdr:to>
      <xdr:col>3</xdr:col>
      <xdr:colOff>1285424</xdr:colOff>
      <xdr:row>39</xdr:row>
      <xdr:rowOff>23812</xdr:rowOff>
    </xdr:to>
    <xdr:graphicFrame macro="">
      <xdr:nvGraphicFramePr>
        <xdr:cNvPr id="3" name="Chart 2">
          <a:extLst>
            <a:ext uri="{FF2B5EF4-FFF2-40B4-BE49-F238E27FC236}">
              <a16:creationId xmlns:a16="http://schemas.microsoft.com/office/drawing/2014/main" id="{64D2944F-090A-45B8-B071-BC3D02283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238125</xdr:colOff>
      <xdr:row>0</xdr:row>
      <xdr:rowOff>200025</xdr:rowOff>
    </xdr:from>
    <xdr:to>
      <xdr:col>15</xdr:col>
      <xdr:colOff>523200</xdr:colOff>
      <xdr:row>10</xdr:row>
      <xdr:rowOff>0</xdr:rowOff>
    </xdr:to>
    <xdr:sp macro="" textlink="">
      <xdr:nvSpPr>
        <xdr:cNvPr id="2" name="TextBox 1">
          <a:extLst>
            <a:ext uri="{FF2B5EF4-FFF2-40B4-BE49-F238E27FC236}">
              <a16:creationId xmlns:a16="http://schemas.microsoft.com/office/drawing/2014/main" id="{EA66E700-F893-426A-8031-4E1646F4A934}"/>
            </a:ext>
          </a:extLst>
        </xdr:cNvPr>
        <xdr:cNvSpPr txBox="1"/>
      </xdr:nvSpPr>
      <xdr:spPr>
        <a:xfrm>
          <a:off x="7762875" y="200025"/>
          <a:ext cx="8562300" cy="2038350"/>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6.vi</a:t>
          </a:r>
        </a:p>
        <a:p>
          <a:r>
            <a:rPr lang="en-GB" sz="1100">
              <a:latin typeface="Aptos Narrow" panose="020B0004020202020204" pitchFamily="34" charset="0"/>
            </a:rPr>
            <a:t>Machine: Surface Laptop 4</a:t>
          </a:r>
        </a:p>
        <a:p>
          <a:r>
            <a:rPr lang="en-GB" sz="1100">
              <a:latin typeface="Aptos Narrow" panose="020B0004020202020204" pitchFamily="34" charset="0"/>
            </a:rPr>
            <a:t>Date: 08 September 2026</a:t>
          </a:r>
        </a:p>
        <a:p>
          <a:endParaRPr lang="en-GB" sz="1100">
            <a:latin typeface="Aptos Narrow" panose="020B0004020202020204" pitchFamily="34" charset="0"/>
          </a:endParaRPr>
        </a:p>
        <a:p>
          <a:r>
            <a:rPr lang="en-GB" sz="1100">
              <a:solidFill>
                <a:schemeClr val="dk1"/>
              </a:solidFill>
              <a:effectLst/>
              <a:latin typeface="+mn-lt"/>
              <a:ea typeface="+mn-ea"/>
              <a:cs typeface="+mn-cs"/>
            </a:rPr>
            <a:t>Experiment 6. For loop: 1 million iterations.</a:t>
          </a:r>
          <a:r>
            <a:rPr lang="en-GB" sz="1100" baseline="0">
              <a:solidFill>
                <a:schemeClr val="dk1"/>
              </a:solidFill>
              <a:effectLst/>
              <a:latin typeface="+mn-lt"/>
              <a:ea typeface="+mn-ea"/>
              <a:cs typeface="+mn-cs"/>
            </a:rPr>
            <a:t> Like Experiment 5, but this time NR and PCR VIs have "Allow debugging" turned off.</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1. Setting "Allow debugging" to OFF did increase performance, very slightly (0.4% for NR chain of VIs and 0.7% for PCR chain of VIs). A performance difference of around 12% is maintained between PCR DBG OFF and NR DBG OFF.</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2. Turning "Inline" on results in another small improvement, of around 2.7 %.</a:t>
          </a:r>
          <a:endParaRPr lang="en-GB">
            <a:effectLst/>
          </a:endParaRPr>
        </a:p>
      </xdr:txBody>
    </xdr:sp>
    <xdr:clientData/>
  </xdr:twoCellAnchor>
  <xdr:twoCellAnchor>
    <xdr:from>
      <xdr:col>1</xdr:col>
      <xdr:colOff>304799</xdr:colOff>
      <xdr:row>19</xdr:row>
      <xdr:rowOff>109537</xdr:rowOff>
    </xdr:from>
    <xdr:to>
      <xdr:col>6</xdr:col>
      <xdr:colOff>428174</xdr:colOff>
      <xdr:row>33</xdr:row>
      <xdr:rowOff>185737</xdr:rowOff>
    </xdr:to>
    <xdr:graphicFrame macro="">
      <xdr:nvGraphicFramePr>
        <xdr:cNvPr id="3" name="Chart 2">
          <a:extLst>
            <a:ext uri="{FF2B5EF4-FFF2-40B4-BE49-F238E27FC236}">
              <a16:creationId xmlns:a16="http://schemas.microsoft.com/office/drawing/2014/main" id="{B46285D1-E593-4388-B027-85841FB74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247650</xdr:colOff>
      <xdr:row>1</xdr:row>
      <xdr:rowOff>390525</xdr:rowOff>
    </xdr:from>
    <xdr:to>
      <xdr:col>3</xdr:col>
      <xdr:colOff>1038225</xdr:colOff>
      <xdr:row>7</xdr:row>
      <xdr:rowOff>38100</xdr:rowOff>
    </xdr:to>
    <xdr:sp macro="" textlink="">
      <xdr:nvSpPr>
        <xdr:cNvPr id="4" name="TextBox 3">
          <a:extLst>
            <a:ext uri="{FF2B5EF4-FFF2-40B4-BE49-F238E27FC236}">
              <a16:creationId xmlns:a16="http://schemas.microsoft.com/office/drawing/2014/main" id="{7494D959-2283-4C3C-B75A-BD05E0505DC6}"/>
            </a:ext>
          </a:extLst>
        </xdr:cNvPr>
        <xdr:cNvSpPr txBox="1"/>
      </xdr:nvSpPr>
      <xdr:spPr>
        <a:xfrm>
          <a:off x="247650" y="723900"/>
          <a:ext cx="6934200" cy="1171575"/>
        </a:xfrm>
        <a:prstGeom prst="rect">
          <a:avLst/>
        </a:prstGeom>
        <a:solidFill>
          <a:srgbClr val="FFCCCC"/>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Was</a:t>
          </a:r>
          <a:r>
            <a:rPr lang="en-GB" sz="1100" b="1" u="sng" baseline="0">
              <a:latin typeface="Aptos Narrow" panose="020B0004020202020204" pitchFamily="34" charset="0"/>
            </a:rPr>
            <a:t> Re-Run</a:t>
          </a:r>
          <a:endParaRPr lang="en-GB" sz="1100" b="1" u="sng">
            <a:latin typeface="Aptos Narrow" panose="020B0004020202020204" pitchFamily="34" charset="0"/>
          </a:endParaRPr>
        </a:p>
        <a:p>
          <a:r>
            <a:rPr lang="en-GB" sz="1100">
              <a:latin typeface="Aptos Narrow" panose="020B0004020202020204" pitchFamily="34" charset="0"/>
            </a:rPr>
            <a:t>This experiment was re-run</a:t>
          </a:r>
          <a:r>
            <a:rPr lang="en-GB" sz="1100" baseline="0">
              <a:latin typeface="Aptos Narrow" panose="020B0004020202020204" pitchFamily="34" charset="0"/>
            </a:rPr>
            <a:t> on 10 Sept 2026. Reason: The data in the original experiment was captured in two tranches (a few hours apart). Data seemed inconsistent.</a:t>
          </a:r>
        </a:p>
        <a:p>
          <a:r>
            <a:rPr lang="en-GB" sz="1100" baseline="0">
              <a:effectLst/>
              <a:latin typeface="Aptos Narrow" panose="020B0004020202020204" pitchFamily="34" charset="0"/>
            </a:rPr>
            <a:t>The experiment was rerun in a single tranche.</a:t>
          </a:r>
          <a:endParaRPr lang="en-GB">
            <a:effectLs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238125</xdr:colOff>
      <xdr:row>0</xdr:row>
      <xdr:rowOff>200025</xdr:rowOff>
    </xdr:from>
    <xdr:to>
      <xdr:col>15</xdr:col>
      <xdr:colOff>523200</xdr:colOff>
      <xdr:row>11</xdr:row>
      <xdr:rowOff>95250</xdr:rowOff>
    </xdr:to>
    <xdr:sp macro="" textlink="">
      <xdr:nvSpPr>
        <xdr:cNvPr id="2" name="TextBox 1">
          <a:extLst>
            <a:ext uri="{FF2B5EF4-FFF2-40B4-BE49-F238E27FC236}">
              <a16:creationId xmlns:a16="http://schemas.microsoft.com/office/drawing/2014/main" id="{16D2E4C9-B130-4E2C-9EBF-35F4DF4D464A}"/>
            </a:ext>
          </a:extLst>
        </xdr:cNvPr>
        <xdr:cNvSpPr txBox="1"/>
      </xdr:nvSpPr>
      <xdr:spPr>
        <a:xfrm>
          <a:off x="10525125" y="200025"/>
          <a:ext cx="11134050" cy="2514600"/>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6.vi</a:t>
          </a:r>
        </a:p>
        <a:p>
          <a:r>
            <a:rPr lang="en-GB" sz="1100">
              <a:latin typeface="Aptos Narrow" panose="020B0004020202020204" pitchFamily="34" charset="0"/>
            </a:rPr>
            <a:t>Machine: Surface Laptop 4</a:t>
          </a:r>
        </a:p>
        <a:p>
          <a:r>
            <a:rPr lang="en-GB" sz="1100">
              <a:latin typeface="Aptos Narrow" panose="020B0004020202020204" pitchFamily="34" charset="0"/>
            </a:rPr>
            <a:t>Date: 10 September 2026</a:t>
          </a:r>
        </a:p>
        <a:p>
          <a:r>
            <a:rPr lang="en-GB" sz="1100">
              <a:solidFill>
                <a:schemeClr val="dk1"/>
              </a:solidFill>
              <a:effectLst/>
              <a:latin typeface="+mn-lt"/>
              <a:ea typeface="+mn-ea"/>
              <a:cs typeface="+mn-cs"/>
            </a:rPr>
            <a:t>Experiment 6. For loop: 1 million iterations.</a:t>
          </a:r>
          <a:r>
            <a:rPr lang="en-GB" sz="1100" baseline="0">
              <a:solidFill>
                <a:schemeClr val="dk1"/>
              </a:solidFill>
              <a:effectLst/>
              <a:latin typeface="+mn-lt"/>
              <a:ea typeface="+mn-ea"/>
              <a:cs typeface="+mn-cs"/>
            </a:rPr>
            <a:t> Like Experiment 5, but this time NR and PCR VIs have "Allow debugging" turned off.</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 from Experiment 6 first run:</a:t>
          </a:r>
        </a:p>
        <a:p>
          <a:pPr eaLnBrk="1" fontAlgn="auto" latinLnBrk="0" hangingPunct="1"/>
          <a:r>
            <a:rPr lang="en-GB" sz="1100" baseline="0">
              <a:solidFill>
                <a:schemeClr val="dk1"/>
              </a:solidFill>
              <a:effectLst/>
              <a:latin typeface="+mn-lt"/>
              <a:ea typeface="+mn-ea"/>
              <a:cs typeface="+mn-cs"/>
            </a:rPr>
            <a:t>1. Setting "Allow debugging" to OFF did increase performance, very slightly (0.4% for NR chain of VIs and 0.7% for PCR chain of VIs). A performance difference of around 12% is maintained between PCR DBG OFF and NR DBG OFF.</a:t>
          </a:r>
        </a:p>
        <a:p>
          <a:pPr eaLnBrk="1" fontAlgn="auto" latinLnBrk="0" hangingPunct="1"/>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 from Experiment 6 second run:</a:t>
          </a:r>
        </a:p>
        <a:p>
          <a:pPr eaLnBrk="1" fontAlgn="auto" latinLnBrk="0" hangingPunct="1"/>
          <a:r>
            <a:rPr lang="en-GB" sz="1100" baseline="0">
              <a:solidFill>
                <a:schemeClr val="dk1"/>
              </a:solidFill>
              <a:effectLst/>
              <a:latin typeface="+mn-lt"/>
              <a:ea typeface="+mn-ea"/>
              <a:cs typeface="+mn-cs"/>
            </a:rPr>
            <a:t>2. Making PCR VIs Inline results in a further small improvement of around 5.8 %.</a:t>
          </a:r>
        </a:p>
        <a:p>
          <a:pPr eaLnBrk="1" fontAlgn="auto" latinLnBrk="0" hangingPunct="1"/>
          <a:r>
            <a:rPr lang="en-GB" sz="1100" baseline="0">
              <a:solidFill>
                <a:schemeClr val="dk1"/>
              </a:solidFill>
              <a:effectLst/>
              <a:latin typeface="+mn-lt"/>
              <a:ea typeface="+mn-ea"/>
              <a:cs typeface="+mn-cs"/>
            </a:rPr>
            <a:t>3. Making PCR VIs Subroutine results in a small improvement of around 1.6%.</a:t>
          </a:r>
        </a:p>
        <a:p>
          <a:pPr eaLnBrk="1" fontAlgn="auto" latinLnBrk="0" hangingPunct="1"/>
          <a:r>
            <a:rPr lang="en-GB" sz="1100" baseline="0">
              <a:solidFill>
                <a:schemeClr val="dk1"/>
              </a:solidFill>
              <a:effectLst/>
              <a:latin typeface="+mn-lt"/>
              <a:ea typeface="+mn-ea"/>
              <a:cs typeface="+mn-cs"/>
            </a:rPr>
            <a:t>4. PCR VIs with Subroutine on are slower than same PCR VIs that are inline, by around 4.5%. This might be because, when inlined, the LabVIEW compiler can "see through" subVI borders and clump operations in a better/deeper way. However, the downside of Inline VIs is that they make the editor slower too.</a:t>
          </a:r>
          <a:endParaRPr lang="en-GB">
            <a:effectLst/>
          </a:endParaRPr>
        </a:p>
      </xdr:txBody>
    </xdr:sp>
    <xdr:clientData/>
  </xdr:twoCellAnchor>
  <xdr:twoCellAnchor>
    <xdr:from>
      <xdr:col>1</xdr:col>
      <xdr:colOff>304799</xdr:colOff>
      <xdr:row>19</xdr:row>
      <xdr:rowOff>109537</xdr:rowOff>
    </xdr:from>
    <xdr:to>
      <xdr:col>6</xdr:col>
      <xdr:colOff>428174</xdr:colOff>
      <xdr:row>33</xdr:row>
      <xdr:rowOff>185737</xdr:rowOff>
    </xdr:to>
    <xdr:graphicFrame macro="">
      <xdr:nvGraphicFramePr>
        <xdr:cNvPr id="3" name="Chart 2">
          <a:extLst>
            <a:ext uri="{FF2B5EF4-FFF2-40B4-BE49-F238E27FC236}">
              <a16:creationId xmlns:a16="http://schemas.microsoft.com/office/drawing/2014/main" id="{1B30A8EF-BD30-4F96-8868-EDFF07EE8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114300</xdr:colOff>
      <xdr:row>50</xdr:row>
      <xdr:rowOff>190499</xdr:rowOff>
    </xdr:from>
    <xdr:to>
      <xdr:col>11</xdr:col>
      <xdr:colOff>475575</xdr:colOff>
      <xdr:row>64</xdr:row>
      <xdr:rowOff>47624</xdr:rowOff>
    </xdr:to>
    <xdr:sp macro="" textlink="">
      <xdr:nvSpPr>
        <xdr:cNvPr id="2" name="TextBox 1">
          <a:extLst>
            <a:ext uri="{FF2B5EF4-FFF2-40B4-BE49-F238E27FC236}">
              <a16:creationId xmlns:a16="http://schemas.microsoft.com/office/drawing/2014/main" id="{918B308D-9A64-4FAD-AC25-6910DF839799}"/>
            </a:ext>
          </a:extLst>
        </xdr:cNvPr>
        <xdr:cNvSpPr txBox="1"/>
      </xdr:nvSpPr>
      <xdr:spPr>
        <a:xfrm>
          <a:off x="5495925" y="11229974"/>
          <a:ext cx="13505775" cy="2524125"/>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7.vi</a:t>
          </a:r>
        </a:p>
        <a:p>
          <a:r>
            <a:rPr lang="en-GB" sz="1100">
              <a:latin typeface="Aptos Narrow" panose="020B0004020202020204" pitchFamily="34" charset="0"/>
            </a:rPr>
            <a:t>Machine: Surface Laptop 4</a:t>
          </a:r>
        </a:p>
        <a:p>
          <a:r>
            <a:rPr lang="en-GB" sz="1100">
              <a:latin typeface="Aptos Narrow" panose="020B0004020202020204" pitchFamily="34" charset="0"/>
            </a:rPr>
            <a:t>Date: 10 September 2026</a:t>
          </a:r>
        </a:p>
        <a:p>
          <a:r>
            <a:rPr lang="en-GB" sz="1100">
              <a:solidFill>
                <a:schemeClr val="dk1"/>
              </a:solidFill>
              <a:effectLst/>
              <a:latin typeface="+mn-lt"/>
              <a:ea typeface="+mn-ea"/>
              <a:cs typeface="+mn-cs"/>
            </a:rPr>
            <a:t>Experiment 7. Assessing how many iterations of one, two, and four loops can be completed in 2 seconds. Up to and including this</a:t>
          </a:r>
          <a:r>
            <a:rPr lang="en-GB" sz="1100" baseline="0">
              <a:solidFill>
                <a:schemeClr val="dk1"/>
              </a:solidFill>
              <a:effectLst/>
              <a:latin typeface="+mn-lt"/>
              <a:ea typeface="+mn-ea"/>
              <a:cs typeface="+mn-cs"/>
            </a:rPr>
            <a:t> experiment, the Tools &gt; Options &gt; Environment: Compiler setting was set to 5 out of 10 (the default).</a:t>
          </a:r>
          <a:endParaRPr lang="en-GB" sz="1100">
            <a:solidFill>
              <a:schemeClr val="dk1"/>
            </a:solidFill>
            <a:effectLst/>
            <a:latin typeface="+mn-lt"/>
            <a:ea typeface="+mn-ea"/>
            <a:cs typeface="+mn-cs"/>
          </a:endParaRPr>
        </a:p>
        <a:p>
          <a:endParaRPr lang="en-GB" sz="1100" baseline="0">
            <a:solidFill>
              <a:schemeClr val="dk1"/>
            </a:solidFill>
            <a:effectLst/>
            <a:latin typeface="+mn-lt"/>
            <a:ea typeface="+mn-ea"/>
            <a:cs typeface="+mn-cs"/>
          </a:endParaRPr>
        </a:p>
        <a:p>
          <a:r>
            <a:rPr lang="en-GB" sz="1100" baseline="0">
              <a:solidFill>
                <a:schemeClr val="dk1"/>
              </a:solidFill>
              <a:effectLst/>
              <a:latin typeface="+mn-lt"/>
              <a:ea typeface="+mn-ea"/>
              <a:cs typeface="+mn-cs"/>
            </a:rPr>
            <a:t>SBRTN = Subroutine</a:t>
          </a:r>
        </a:p>
        <a:p>
          <a:r>
            <a:rPr lang="en-GB" sz="1100" baseline="0">
              <a:solidFill>
                <a:schemeClr val="dk1"/>
              </a:solidFill>
              <a:effectLst/>
              <a:latin typeface="+mn-lt"/>
              <a:ea typeface="+mn-ea"/>
              <a:cs typeface="+mn-cs"/>
            </a:rPr>
            <a:t>INLN = Inline on, "inlined" VI</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1. The best performance was in all cases achieved by PCR VIs with Inlining on.</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2. Second best performance is PCR + Subroutine VIs</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3. NR VIs are by far the worst, especially when comparing only the Two Loop and Four Loop scenarious, where collisions are possible.</a:t>
          </a:r>
          <a:endParaRPr lang="en-GB">
            <a:effectLst/>
          </a:endParaRPr>
        </a:p>
      </xdr:txBody>
    </xdr:sp>
    <xdr:clientData/>
  </xdr:twoCellAnchor>
  <xdr:twoCellAnchor>
    <xdr:from>
      <xdr:col>1</xdr:col>
      <xdr:colOff>19050</xdr:colOff>
      <xdr:row>33</xdr:row>
      <xdr:rowOff>100011</xdr:rowOff>
    </xdr:from>
    <xdr:to>
      <xdr:col>11</xdr:col>
      <xdr:colOff>1274550</xdr:colOff>
      <xdr:row>50</xdr:row>
      <xdr:rowOff>28574</xdr:rowOff>
    </xdr:to>
    <xdr:graphicFrame macro="">
      <xdr:nvGraphicFramePr>
        <xdr:cNvPr id="4" name="Chart 3">
          <a:extLst>
            <a:ext uri="{FF2B5EF4-FFF2-40B4-BE49-F238E27FC236}">
              <a16:creationId xmlns:a16="http://schemas.microsoft.com/office/drawing/2014/main" id="{5AB5BF1E-77A2-736E-8801-079F389DF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15</xdr:row>
      <xdr:rowOff>180975</xdr:rowOff>
    </xdr:from>
    <xdr:to>
      <xdr:col>8</xdr:col>
      <xdr:colOff>17925</xdr:colOff>
      <xdr:row>32</xdr:row>
      <xdr:rowOff>109538</xdr:rowOff>
    </xdr:to>
    <xdr:graphicFrame macro="">
      <xdr:nvGraphicFramePr>
        <xdr:cNvPr id="3" name="Chart 2">
          <a:extLst>
            <a:ext uri="{FF2B5EF4-FFF2-40B4-BE49-F238E27FC236}">
              <a16:creationId xmlns:a16="http://schemas.microsoft.com/office/drawing/2014/main" id="{810B19A0-B602-4F45-BF1A-72BA19819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85724</xdr:colOff>
      <xdr:row>31</xdr:row>
      <xdr:rowOff>28576</xdr:rowOff>
    </xdr:from>
    <xdr:to>
      <xdr:col>9</xdr:col>
      <xdr:colOff>1217849</xdr:colOff>
      <xdr:row>44</xdr:row>
      <xdr:rowOff>76201</xdr:rowOff>
    </xdr:to>
    <xdr:sp macro="" textlink="">
      <xdr:nvSpPr>
        <xdr:cNvPr id="2" name="TextBox 1">
          <a:extLst>
            <a:ext uri="{FF2B5EF4-FFF2-40B4-BE49-F238E27FC236}">
              <a16:creationId xmlns:a16="http://schemas.microsoft.com/office/drawing/2014/main" id="{4C71186F-9BF7-4057-8FB1-120BADA185D3}"/>
            </a:ext>
          </a:extLst>
        </xdr:cNvPr>
        <xdr:cNvSpPr txBox="1"/>
      </xdr:nvSpPr>
      <xdr:spPr>
        <a:xfrm>
          <a:off x="4195081" y="8669112"/>
          <a:ext cx="10847625" cy="2524125"/>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7.vi</a:t>
          </a:r>
        </a:p>
        <a:p>
          <a:r>
            <a:rPr lang="en-GB" sz="1100">
              <a:latin typeface="Aptos Narrow" panose="020B0004020202020204" pitchFamily="34" charset="0"/>
            </a:rPr>
            <a:t>Machine: Surface Laptop 4</a:t>
          </a:r>
        </a:p>
        <a:p>
          <a:r>
            <a:rPr lang="en-GB" sz="1100">
              <a:latin typeface="Aptos Narrow" panose="020B0004020202020204" pitchFamily="34" charset="0"/>
            </a:rPr>
            <a:t>Date: 10 September 2026</a:t>
          </a:r>
        </a:p>
        <a:p>
          <a:r>
            <a:rPr lang="en-GB" sz="1100">
              <a:solidFill>
                <a:schemeClr val="dk1"/>
              </a:solidFill>
              <a:effectLst/>
              <a:latin typeface="+mn-lt"/>
              <a:ea typeface="+mn-ea"/>
              <a:cs typeface="+mn-cs"/>
            </a:rPr>
            <a:t>Experiment 7. Rerun with Compiler setting set to 10 out of 10.</a:t>
          </a:r>
          <a:r>
            <a:rPr lang="en-GB" sz="1100" baseline="0">
              <a:solidFill>
                <a:schemeClr val="dk1"/>
              </a:solidFill>
              <a:effectLst/>
              <a:latin typeface="+mn-lt"/>
              <a:ea typeface="+mn-ea"/>
              <a:cs typeface="+mn-cs"/>
            </a:rPr>
            <a:t> The Compiled Object Cache was cleared, LabVIEW was restarted, Ctrl + Shift + Run arrow click was executed on Experiment 7.vi to force recompile of whole hierarchy using new Compiler setting (10 out of 10).</a:t>
          </a:r>
          <a:endParaRPr lang="en-GB" sz="1100">
            <a:solidFill>
              <a:schemeClr val="dk1"/>
            </a:solidFill>
            <a:effectLst/>
            <a:latin typeface="+mn-lt"/>
            <a:ea typeface="+mn-ea"/>
            <a:cs typeface="+mn-cs"/>
          </a:endParaRP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1. A performance difference is maintained even after Compiler is set to 10 out of 10. This suggests that the compiler is unable to "see through" subroutine VI boundaries even when set to 10 out of 10 (perform all optimisations). This warrants the creation of an idea on the LabVIEW Idea Exchange.</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2. A slight performance increase is achieved when building the Experiment 7.vi as an EXE, and running it as an EXE. This might be because in the EXE all debugging is turned off, including for the Experiment 7.vi itself (the caller VI).</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3. The performance differential between Subroutine VIs and Inlined VIs continues to exists when comparing the two EXEs. This indicates that inlined VIs lead to best possible performance in EXEs too, as well as in the Dev Env.</a:t>
          </a:r>
          <a:endParaRPr lang="en-GB">
            <a:effectLst/>
          </a:endParaRPr>
        </a:p>
      </xdr:txBody>
    </xdr:sp>
    <xdr:clientData/>
  </xdr:twoCellAnchor>
  <xdr:twoCellAnchor>
    <xdr:from>
      <xdr:col>2</xdr:col>
      <xdr:colOff>47624</xdr:colOff>
      <xdr:row>14</xdr:row>
      <xdr:rowOff>30616</xdr:rowOff>
    </xdr:from>
    <xdr:to>
      <xdr:col>22</xdr:col>
      <xdr:colOff>123375</xdr:colOff>
      <xdr:row>30</xdr:row>
      <xdr:rowOff>114301</xdr:rowOff>
    </xdr:to>
    <xdr:grpSp>
      <xdr:nvGrpSpPr>
        <xdr:cNvPr id="6" name="Group 5">
          <a:extLst>
            <a:ext uri="{FF2B5EF4-FFF2-40B4-BE49-F238E27FC236}">
              <a16:creationId xmlns:a16="http://schemas.microsoft.com/office/drawing/2014/main" id="{95BB3BD2-F15D-8497-29AF-234E389A2804}"/>
            </a:ext>
          </a:extLst>
        </xdr:cNvPr>
        <xdr:cNvGrpSpPr/>
      </xdr:nvGrpSpPr>
      <xdr:grpSpPr>
        <a:xfrm>
          <a:off x="4139233" y="5430877"/>
          <a:ext cx="18198099" cy="3131685"/>
          <a:chOff x="3476624" y="2881311"/>
          <a:chExt cx="18211351" cy="2709863"/>
        </a:xfrm>
      </xdr:grpSpPr>
      <xdr:graphicFrame macro="">
        <xdr:nvGraphicFramePr>
          <xdr:cNvPr id="3" name="Chart 2">
            <a:extLst>
              <a:ext uri="{FF2B5EF4-FFF2-40B4-BE49-F238E27FC236}">
                <a16:creationId xmlns:a16="http://schemas.microsoft.com/office/drawing/2014/main" id="{CC0DDDA1-C368-4A05-A0F9-874574F152CE}"/>
              </a:ext>
            </a:extLst>
          </xdr:cNvPr>
          <xdr:cNvGraphicFramePr>
            <a:graphicFrameLocks/>
          </xdr:cNvGraphicFramePr>
        </xdr:nvGraphicFramePr>
        <xdr:xfrm>
          <a:off x="3476624" y="2881311"/>
          <a:ext cx="10800000" cy="270986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60EB1DEC-DDDC-47C5-8B5A-670ADC3CBFED}"/>
              </a:ext>
            </a:extLst>
          </xdr:cNvPr>
          <xdr:cNvGraphicFramePr>
            <a:graphicFrameLocks/>
          </xdr:cNvGraphicFramePr>
        </xdr:nvGraphicFramePr>
        <xdr:xfrm>
          <a:off x="14411325" y="2881311"/>
          <a:ext cx="3600000" cy="270986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FC60FE4B-2025-4FB1-9012-D70F8729EBC8}"/>
              </a:ext>
            </a:extLst>
          </xdr:cNvPr>
          <xdr:cNvGraphicFramePr>
            <a:graphicFrameLocks/>
          </xdr:cNvGraphicFramePr>
        </xdr:nvGraphicFramePr>
        <xdr:xfrm>
          <a:off x="18087975" y="2881311"/>
          <a:ext cx="3600000" cy="2709863"/>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129266</xdr:colOff>
      <xdr:row>15</xdr:row>
      <xdr:rowOff>138113</xdr:rowOff>
    </xdr:from>
    <xdr:to>
      <xdr:col>10</xdr:col>
      <xdr:colOff>309341</xdr:colOff>
      <xdr:row>39</xdr:row>
      <xdr:rowOff>76200</xdr:rowOff>
    </xdr:to>
    <xdr:grpSp>
      <xdr:nvGrpSpPr>
        <xdr:cNvPr id="7" name="Group 6">
          <a:extLst>
            <a:ext uri="{FF2B5EF4-FFF2-40B4-BE49-F238E27FC236}">
              <a16:creationId xmlns:a16="http://schemas.microsoft.com/office/drawing/2014/main" id="{1D75E39B-1EF0-DAB2-2B7D-4F08B782CB60}"/>
            </a:ext>
          </a:extLst>
        </xdr:cNvPr>
        <xdr:cNvGrpSpPr/>
      </xdr:nvGrpSpPr>
      <xdr:grpSpPr>
        <a:xfrm>
          <a:off x="4844141" y="5062538"/>
          <a:ext cx="7200000" cy="4510087"/>
          <a:chOff x="2177141" y="3052763"/>
          <a:chExt cx="7200000" cy="4510087"/>
        </a:xfrm>
      </xdr:grpSpPr>
      <xdr:sp macro="" textlink="">
        <xdr:nvSpPr>
          <xdr:cNvPr id="2" name="TextBox 1">
            <a:extLst>
              <a:ext uri="{FF2B5EF4-FFF2-40B4-BE49-F238E27FC236}">
                <a16:creationId xmlns:a16="http://schemas.microsoft.com/office/drawing/2014/main" id="{90B651CD-9B3C-4594-9488-18FED301A233}"/>
              </a:ext>
            </a:extLst>
          </xdr:cNvPr>
          <xdr:cNvSpPr txBox="1"/>
        </xdr:nvSpPr>
        <xdr:spPr>
          <a:xfrm>
            <a:off x="2177141" y="4803323"/>
            <a:ext cx="7195459" cy="2759527"/>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12.vi</a:t>
            </a:r>
          </a:p>
          <a:p>
            <a:r>
              <a:rPr lang="en-GB" sz="1100">
                <a:latin typeface="Aptos Narrow" panose="020B0004020202020204" pitchFamily="34" charset="0"/>
              </a:rPr>
              <a:t>Machine: Surface Laptop 4</a:t>
            </a:r>
          </a:p>
          <a:p>
            <a:r>
              <a:rPr lang="en-GB" sz="1100">
                <a:latin typeface="Aptos Narrow" panose="020B0004020202020204" pitchFamily="34" charset="0"/>
              </a:rPr>
              <a:t>Date: 16 September 2026</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1. The size of the built EXE (Experiment 12.exe) was consistent when built three times in a row from inline VIs (274,432 bytes) and when built three times in a row from the same VIs set to subroutines (247,808 bytes).</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2. The size of the EXE that uses inline VIs is around 10.7% larger than the same EXE when using subroutine VIs. The difference is equivalent to 26,624 bytes or 26 KB.</a:t>
            </a:r>
            <a:endParaRPr lang="en-GB">
              <a:effectLst/>
            </a:endParaRPr>
          </a:p>
        </xdr:txBody>
      </xdr:sp>
      <xdr:graphicFrame macro="">
        <xdr:nvGraphicFramePr>
          <xdr:cNvPr id="4" name="Chart 3">
            <a:extLst>
              <a:ext uri="{FF2B5EF4-FFF2-40B4-BE49-F238E27FC236}">
                <a16:creationId xmlns:a16="http://schemas.microsoft.com/office/drawing/2014/main" id="{421C839C-48DD-620B-2154-10E4B94E4186}"/>
              </a:ext>
            </a:extLst>
          </xdr:cNvPr>
          <xdr:cNvGraphicFramePr>
            <a:graphicFrameLocks/>
          </xdr:cNvGraphicFramePr>
        </xdr:nvGraphicFramePr>
        <xdr:xfrm>
          <a:off x="2177141" y="3052763"/>
          <a:ext cx="7200000" cy="1600882"/>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519791</xdr:colOff>
      <xdr:row>45</xdr:row>
      <xdr:rowOff>107499</xdr:rowOff>
    </xdr:from>
    <xdr:to>
      <xdr:col>9</xdr:col>
      <xdr:colOff>742950</xdr:colOff>
      <xdr:row>56</xdr:row>
      <xdr:rowOff>114301</xdr:rowOff>
    </xdr:to>
    <xdr:sp macro="" textlink="">
      <xdr:nvSpPr>
        <xdr:cNvPr id="3" name="TextBox 2">
          <a:extLst>
            <a:ext uri="{FF2B5EF4-FFF2-40B4-BE49-F238E27FC236}">
              <a16:creationId xmlns:a16="http://schemas.microsoft.com/office/drawing/2014/main" id="{775E633C-B0AF-9EEE-7445-D3110B2E68BB}"/>
            </a:ext>
          </a:extLst>
        </xdr:cNvPr>
        <xdr:cNvSpPr txBox="1"/>
      </xdr:nvSpPr>
      <xdr:spPr>
        <a:xfrm>
          <a:off x="5949041" y="12051849"/>
          <a:ext cx="7557409" cy="2102302"/>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12.vi</a:t>
          </a:r>
        </a:p>
        <a:p>
          <a:r>
            <a:rPr lang="en-GB" sz="1100">
              <a:latin typeface="Aptos Narrow" panose="020B0004020202020204" pitchFamily="34" charset="0"/>
            </a:rPr>
            <a:t>Machine: Surface Laptop 4</a:t>
          </a:r>
        </a:p>
        <a:p>
          <a:r>
            <a:rPr lang="en-GB" sz="1100">
              <a:latin typeface="Aptos Narrow" panose="020B0004020202020204" pitchFamily="34" charset="0"/>
            </a:rPr>
            <a:t>Date: 16 September 2026</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1. This experiment showed that parallel loop execution is quite loose.</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2. Execution is looser (less tight) when using inline VIs compared to subroutine VIs.</a:t>
          </a:r>
          <a:endParaRPr lang="en-GB">
            <a:effectLst/>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653141</xdr:colOff>
      <xdr:row>32</xdr:row>
      <xdr:rowOff>78924</xdr:rowOff>
    </xdr:from>
    <xdr:to>
      <xdr:col>9</xdr:col>
      <xdr:colOff>161925</xdr:colOff>
      <xdr:row>43</xdr:row>
      <xdr:rowOff>85726</xdr:rowOff>
    </xdr:to>
    <xdr:sp macro="" textlink="">
      <xdr:nvSpPr>
        <xdr:cNvPr id="2" name="TextBox 1">
          <a:extLst>
            <a:ext uri="{FF2B5EF4-FFF2-40B4-BE49-F238E27FC236}">
              <a16:creationId xmlns:a16="http://schemas.microsoft.com/office/drawing/2014/main" id="{E2340AA9-1D66-4D45-8611-1335F320F099}"/>
            </a:ext>
          </a:extLst>
        </xdr:cNvPr>
        <xdr:cNvSpPr txBox="1"/>
      </xdr:nvSpPr>
      <xdr:spPr>
        <a:xfrm>
          <a:off x="5368016" y="9661074"/>
          <a:ext cx="7557409" cy="2102302"/>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13.vi</a:t>
          </a:r>
        </a:p>
        <a:p>
          <a:r>
            <a:rPr lang="en-GB" sz="1100">
              <a:latin typeface="Aptos Narrow" panose="020B0004020202020204" pitchFamily="34" charset="0"/>
            </a:rPr>
            <a:t>Machine: Surface Laptop 4</a:t>
          </a:r>
        </a:p>
        <a:p>
          <a:r>
            <a:rPr lang="en-GB" sz="1100">
              <a:latin typeface="Aptos Narrow" panose="020B0004020202020204" pitchFamily="34" charset="0"/>
            </a:rPr>
            <a:t>Date: 16 September 2026</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110216</xdr:colOff>
      <xdr:row>28</xdr:row>
      <xdr:rowOff>155124</xdr:rowOff>
    </xdr:from>
    <xdr:to>
      <xdr:col>9</xdr:col>
      <xdr:colOff>333375</xdr:colOff>
      <xdr:row>39</xdr:row>
      <xdr:rowOff>161926</xdr:rowOff>
    </xdr:to>
    <xdr:sp macro="" textlink="">
      <xdr:nvSpPr>
        <xdr:cNvPr id="2" name="TextBox 1">
          <a:extLst>
            <a:ext uri="{FF2B5EF4-FFF2-40B4-BE49-F238E27FC236}">
              <a16:creationId xmlns:a16="http://schemas.microsoft.com/office/drawing/2014/main" id="{09790AB4-39AF-4D03-A2C3-F58BA4D34DB0}"/>
            </a:ext>
          </a:extLst>
        </xdr:cNvPr>
        <xdr:cNvSpPr txBox="1"/>
      </xdr:nvSpPr>
      <xdr:spPr>
        <a:xfrm>
          <a:off x="5539466" y="8860974"/>
          <a:ext cx="7557409" cy="2102302"/>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14.vi</a:t>
          </a:r>
        </a:p>
        <a:p>
          <a:r>
            <a:rPr lang="en-GB" sz="1100">
              <a:latin typeface="Aptos Narrow" panose="020B0004020202020204" pitchFamily="34" charset="0"/>
            </a:rPr>
            <a:t>Machine: Surface Laptop 4</a:t>
          </a:r>
        </a:p>
        <a:p>
          <a:r>
            <a:rPr lang="en-GB" sz="1100">
              <a:latin typeface="Aptos Narrow" panose="020B0004020202020204" pitchFamily="34" charset="0"/>
            </a:rPr>
            <a:t>Date: 16 September 2026</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 of Experiments 12, 13, and 14:</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The "tightness" is much better when executing two parallel loops than when having four parallel loops. And is much better when using four parallel loops than when using 10 parallel loops (note: machine has 8 logical processors, so fewer than 10).</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24491</xdr:colOff>
      <xdr:row>28</xdr:row>
      <xdr:rowOff>21774</xdr:rowOff>
    </xdr:from>
    <xdr:to>
      <xdr:col>9</xdr:col>
      <xdr:colOff>247650</xdr:colOff>
      <xdr:row>39</xdr:row>
      <xdr:rowOff>28576</xdr:rowOff>
    </xdr:to>
    <xdr:sp macro="" textlink="">
      <xdr:nvSpPr>
        <xdr:cNvPr id="2" name="TextBox 1">
          <a:extLst>
            <a:ext uri="{FF2B5EF4-FFF2-40B4-BE49-F238E27FC236}">
              <a16:creationId xmlns:a16="http://schemas.microsoft.com/office/drawing/2014/main" id="{EDE96FBD-9C1B-44D4-A220-81C33CDBA2B0}"/>
            </a:ext>
          </a:extLst>
        </xdr:cNvPr>
        <xdr:cNvSpPr txBox="1"/>
      </xdr:nvSpPr>
      <xdr:spPr>
        <a:xfrm>
          <a:off x="5453741" y="8727624"/>
          <a:ext cx="7557409" cy="2102302"/>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15.vi</a:t>
          </a:r>
        </a:p>
        <a:p>
          <a:r>
            <a:rPr lang="en-GB" sz="1100">
              <a:latin typeface="Aptos Narrow" panose="020B0004020202020204" pitchFamily="34" charset="0"/>
            </a:rPr>
            <a:t>Machine: Surface Laptop 4</a:t>
          </a:r>
        </a:p>
        <a:p>
          <a:r>
            <a:rPr lang="en-GB" sz="1100">
              <a:latin typeface="Aptos Narrow" panose="020B0004020202020204" pitchFamily="34" charset="0"/>
            </a:rPr>
            <a:t>Date: 16 September 2026</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119741</xdr:colOff>
      <xdr:row>32</xdr:row>
      <xdr:rowOff>31299</xdr:rowOff>
    </xdr:from>
    <xdr:to>
      <xdr:col>9</xdr:col>
      <xdr:colOff>342900</xdr:colOff>
      <xdr:row>43</xdr:row>
      <xdr:rowOff>38101</xdr:rowOff>
    </xdr:to>
    <xdr:sp macro="" textlink="">
      <xdr:nvSpPr>
        <xdr:cNvPr id="2" name="TextBox 1">
          <a:extLst>
            <a:ext uri="{FF2B5EF4-FFF2-40B4-BE49-F238E27FC236}">
              <a16:creationId xmlns:a16="http://schemas.microsoft.com/office/drawing/2014/main" id="{017B5570-B813-407C-868F-118ADC0C0709}"/>
            </a:ext>
          </a:extLst>
        </xdr:cNvPr>
        <xdr:cNvSpPr txBox="1"/>
      </xdr:nvSpPr>
      <xdr:spPr>
        <a:xfrm>
          <a:off x="5548991" y="9499149"/>
          <a:ext cx="7557409" cy="2102302"/>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16.vi</a:t>
          </a:r>
        </a:p>
        <a:p>
          <a:r>
            <a:rPr lang="en-GB" sz="1100">
              <a:latin typeface="Aptos Narrow" panose="020B0004020202020204" pitchFamily="34" charset="0"/>
            </a:rPr>
            <a:t>Machine: Surface Laptop 4</a:t>
          </a:r>
        </a:p>
        <a:p>
          <a:r>
            <a:rPr lang="en-GB" sz="1100">
              <a:latin typeface="Aptos Narrow" panose="020B0004020202020204" pitchFamily="34" charset="0"/>
            </a:rPr>
            <a:t>Date: 16 September 2026</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81641</xdr:colOff>
      <xdr:row>44</xdr:row>
      <xdr:rowOff>78924</xdr:rowOff>
    </xdr:from>
    <xdr:to>
      <xdr:col>9</xdr:col>
      <xdr:colOff>304800</xdr:colOff>
      <xdr:row>55</xdr:row>
      <xdr:rowOff>85726</xdr:rowOff>
    </xdr:to>
    <xdr:sp macro="" textlink="">
      <xdr:nvSpPr>
        <xdr:cNvPr id="2" name="TextBox 1">
          <a:extLst>
            <a:ext uri="{FF2B5EF4-FFF2-40B4-BE49-F238E27FC236}">
              <a16:creationId xmlns:a16="http://schemas.microsoft.com/office/drawing/2014/main" id="{3153CE7D-5CB1-4CB6-AED1-0343EFAF628B}"/>
            </a:ext>
          </a:extLst>
        </xdr:cNvPr>
        <xdr:cNvSpPr txBox="1"/>
      </xdr:nvSpPr>
      <xdr:spPr>
        <a:xfrm>
          <a:off x="5510891" y="11832774"/>
          <a:ext cx="7557409" cy="2102302"/>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17.vi</a:t>
          </a:r>
        </a:p>
        <a:p>
          <a:r>
            <a:rPr lang="en-GB" sz="1100">
              <a:latin typeface="Aptos Narrow" panose="020B0004020202020204" pitchFamily="34" charset="0"/>
            </a:rPr>
            <a:t>Machine: Surface Laptop 4</a:t>
          </a:r>
        </a:p>
        <a:p>
          <a:r>
            <a:rPr lang="en-GB" sz="1100">
              <a:latin typeface="Aptos Narrow" panose="020B0004020202020204" pitchFamily="34" charset="0"/>
            </a:rPr>
            <a:t>Date: 16 September 2026</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2</xdr:col>
      <xdr:colOff>224516</xdr:colOff>
      <xdr:row>40</xdr:row>
      <xdr:rowOff>107499</xdr:rowOff>
    </xdr:from>
    <xdr:to>
      <xdr:col>9</xdr:col>
      <xdr:colOff>447675</xdr:colOff>
      <xdr:row>51</xdr:row>
      <xdr:rowOff>114301</xdr:rowOff>
    </xdr:to>
    <xdr:sp macro="" textlink="">
      <xdr:nvSpPr>
        <xdr:cNvPr id="2" name="TextBox 1">
          <a:extLst>
            <a:ext uri="{FF2B5EF4-FFF2-40B4-BE49-F238E27FC236}">
              <a16:creationId xmlns:a16="http://schemas.microsoft.com/office/drawing/2014/main" id="{526C38BC-5B65-4C37-BD73-46568C882938}"/>
            </a:ext>
          </a:extLst>
        </xdr:cNvPr>
        <xdr:cNvSpPr txBox="1"/>
      </xdr:nvSpPr>
      <xdr:spPr>
        <a:xfrm>
          <a:off x="5653766" y="11213649"/>
          <a:ext cx="7557409" cy="2102302"/>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18.vi</a:t>
          </a:r>
        </a:p>
        <a:p>
          <a:r>
            <a:rPr lang="en-GB" sz="1100">
              <a:latin typeface="Aptos Narrow" panose="020B0004020202020204" pitchFamily="34" charset="0"/>
            </a:rPr>
            <a:t>Machine: Surface Laptop 4</a:t>
          </a:r>
        </a:p>
        <a:p>
          <a:r>
            <a:rPr lang="en-GB" sz="1100">
              <a:latin typeface="Aptos Narrow" panose="020B0004020202020204" pitchFamily="34" charset="0"/>
            </a:rPr>
            <a:t>Date: 16 September 2026</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 &lt;to be completed&gt;</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2</xdr:col>
      <xdr:colOff>224516</xdr:colOff>
      <xdr:row>52</xdr:row>
      <xdr:rowOff>107499</xdr:rowOff>
    </xdr:from>
    <xdr:to>
      <xdr:col>9</xdr:col>
      <xdr:colOff>447675</xdr:colOff>
      <xdr:row>63</xdr:row>
      <xdr:rowOff>114301</xdr:rowOff>
    </xdr:to>
    <xdr:sp macro="" textlink="">
      <xdr:nvSpPr>
        <xdr:cNvPr id="2" name="TextBox 1">
          <a:extLst>
            <a:ext uri="{FF2B5EF4-FFF2-40B4-BE49-F238E27FC236}">
              <a16:creationId xmlns:a16="http://schemas.microsoft.com/office/drawing/2014/main" id="{09F8B5C0-E0D0-49DD-AE6E-FEC29F98F91F}"/>
            </a:ext>
          </a:extLst>
        </xdr:cNvPr>
        <xdr:cNvSpPr txBox="1"/>
      </xdr:nvSpPr>
      <xdr:spPr>
        <a:xfrm>
          <a:off x="5653766" y="11213649"/>
          <a:ext cx="7557409" cy="2102302"/>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19.vi</a:t>
          </a:r>
        </a:p>
        <a:p>
          <a:r>
            <a:rPr lang="en-GB" sz="1100">
              <a:latin typeface="Aptos Narrow" panose="020B0004020202020204" pitchFamily="34" charset="0"/>
            </a:rPr>
            <a:t>Machine: Surface Laptop 4</a:t>
          </a:r>
        </a:p>
        <a:p>
          <a:r>
            <a:rPr lang="en-GB" sz="1100">
              <a:latin typeface="Aptos Narrow" panose="020B0004020202020204" pitchFamily="34" charset="0"/>
            </a:rPr>
            <a:t>Date: 16 September 2026</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 &lt;to be completed&gt;</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2</xdr:col>
      <xdr:colOff>224516</xdr:colOff>
      <xdr:row>40</xdr:row>
      <xdr:rowOff>107499</xdr:rowOff>
    </xdr:from>
    <xdr:to>
      <xdr:col>9</xdr:col>
      <xdr:colOff>447675</xdr:colOff>
      <xdr:row>51</xdr:row>
      <xdr:rowOff>114301</xdr:rowOff>
    </xdr:to>
    <xdr:sp macro="" textlink="">
      <xdr:nvSpPr>
        <xdr:cNvPr id="2" name="TextBox 1">
          <a:extLst>
            <a:ext uri="{FF2B5EF4-FFF2-40B4-BE49-F238E27FC236}">
              <a16:creationId xmlns:a16="http://schemas.microsoft.com/office/drawing/2014/main" id="{C2246FAD-AB47-49A4-8613-93119A6B1210}"/>
            </a:ext>
          </a:extLst>
        </xdr:cNvPr>
        <xdr:cNvSpPr txBox="1"/>
      </xdr:nvSpPr>
      <xdr:spPr>
        <a:xfrm>
          <a:off x="5653766" y="13499649"/>
          <a:ext cx="7557409" cy="2102302"/>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20.vi</a:t>
          </a:r>
        </a:p>
        <a:p>
          <a:r>
            <a:rPr lang="en-GB" sz="1100">
              <a:latin typeface="Aptos Narrow" panose="020B0004020202020204" pitchFamily="34" charset="0"/>
            </a:rPr>
            <a:t>Machine: Surface Laptop 4</a:t>
          </a:r>
        </a:p>
        <a:p>
          <a:r>
            <a:rPr lang="en-GB" sz="1100">
              <a:latin typeface="Aptos Narrow" panose="020B0004020202020204" pitchFamily="34" charset="0"/>
            </a:rPr>
            <a:t>Date: 16 September 2026</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 &lt;to be completed&gt;</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2</xdr:col>
      <xdr:colOff>224516</xdr:colOff>
      <xdr:row>52</xdr:row>
      <xdr:rowOff>107499</xdr:rowOff>
    </xdr:from>
    <xdr:to>
      <xdr:col>7</xdr:col>
      <xdr:colOff>1038225</xdr:colOff>
      <xdr:row>60</xdr:row>
      <xdr:rowOff>161925</xdr:rowOff>
    </xdr:to>
    <xdr:sp macro="" textlink="">
      <xdr:nvSpPr>
        <xdr:cNvPr id="2" name="TextBox 1">
          <a:extLst>
            <a:ext uri="{FF2B5EF4-FFF2-40B4-BE49-F238E27FC236}">
              <a16:creationId xmlns:a16="http://schemas.microsoft.com/office/drawing/2014/main" id="{FE386101-7C5B-4E2B-8800-D971A66B5F07}"/>
            </a:ext>
          </a:extLst>
        </xdr:cNvPr>
        <xdr:cNvSpPr txBox="1"/>
      </xdr:nvSpPr>
      <xdr:spPr>
        <a:xfrm>
          <a:off x="5653766" y="13499649"/>
          <a:ext cx="6052459" cy="1578426"/>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21.vi</a:t>
          </a:r>
        </a:p>
        <a:p>
          <a:r>
            <a:rPr lang="en-GB" sz="1100">
              <a:latin typeface="Aptos Narrow" panose="020B0004020202020204" pitchFamily="34" charset="0"/>
            </a:rPr>
            <a:t>Machine: Surface Laptop 4</a:t>
          </a:r>
        </a:p>
        <a:p>
          <a:r>
            <a:rPr lang="en-GB" sz="1100">
              <a:latin typeface="Aptos Narrow" panose="020B0004020202020204" pitchFamily="34" charset="0"/>
            </a:rPr>
            <a:t>Date: 16 September 2026</a:t>
          </a:r>
        </a:p>
        <a:p>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 &lt;to be completed&gt;</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6</xdr:col>
      <xdr:colOff>395966</xdr:colOff>
      <xdr:row>0</xdr:row>
      <xdr:rowOff>180975</xdr:rowOff>
    </xdr:from>
    <xdr:to>
      <xdr:col>19</xdr:col>
      <xdr:colOff>276225</xdr:colOff>
      <xdr:row>8</xdr:row>
      <xdr:rowOff>85725</xdr:rowOff>
    </xdr:to>
    <xdr:sp macro="" textlink="">
      <xdr:nvSpPr>
        <xdr:cNvPr id="2" name="TextBox 1">
          <a:extLst>
            <a:ext uri="{FF2B5EF4-FFF2-40B4-BE49-F238E27FC236}">
              <a16:creationId xmlns:a16="http://schemas.microsoft.com/office/drawing/2014/main" id="{2F69FD23-6B53-428D-B34F-E2710C9B4D78}"/>
            </a:ext>
          </a:extLst>
        </xdr:cNvPr>
        <xdr:cNvSpPr txBox="1"/>
      </xdr:nvSpPr>
      <xdr:spPr>
        <a:xfrm>
          <a:off x="8015966" y="180975"/>
          <a:ext cx="7557409" cy="2152650"/>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Results Comparison</a:t>
          </a:r>
        </a:p>
        <a:p>
          <a:r>
            <a:rPr lang="en-GB" sz="1100" b="0" u="none">
              <a:latin typeface="Aptos Narrow" panose="020B0004020202020204" pitchFamily="34" charset="0"/>
            </a:rPr>
            <a:t>From</a:t>
          </a:r>
          <a:r>
            <a:rPr lang="en-GB" sz="1100" b="0" u="none" baseline="0">
              <a:latin typeface="Aptos Narrow" panose="020B0004020202020204" pitchFamily="34" charset="0"/>
            </a:rPr>
            <a:t> analysing the </a:t>
          </a:r>
          <a:r>
            <a:rPr lang="en-GB" sz="1100" b="1" u="none" baseline="0">
              <a:latin typeface="Aptos Narrow" panose="020B0004020202020204" pitchFamily="34" charset="0"/>
            </a:rPr>
            <a:t>Avg. No. Of Loop Iterations </a:t>
          </a:r>
          <a:r>
            <a:rPr lang="en-GB" sz="1100" b="0" u="none" baseline="0">
              <a:latin typeface="Aptos Narrow" panose="020B0004020202020204" pitchFamily="34" charset="0"/>
            </a:rPr>
            <a:t>plot:</a:t>
          </a:r>
        </a:p>
        <a:p>
          <a:r>
            <a:rPr lang="en-GB" sz="1100" b="0" u="none" baseline="0">
              <a:latin typeface="Aptos Narrow" panose="020B0004020202020204" pitchFamily="34" charset="0"/>
            </a:rPr>
            <a:t>1. No clear difference between performance of for loops and while loops (one not clearly more performant than other)</a:t>
          </a:r>
        </a:p>
        <a:p>
          <a:r>
            <a:rPr lang="en-GB" sz="1100" b="0" u="none" baseline="0">
              <a:latin typeface="Aptos Narrow" panose="020B0004020202020204" pitchFamily="34" charset="0"/>
            </a:rPr>
            <a:t>2. Using inline VIs is a performance boost.</a:t>
          </a:r>
        </a:p>
        <a:p>
          <a:endParaRPr lang="en-GB" sz="1100" b="0" u="none" baseline="0">
            <a:latin typeface="Aptos Narrow" panose="020B00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a:solidFill>
                <a:schemeClr val="dk1"/>
              </a:solidFill>
              <a:effectLst/>
              <a:latin typeface="+mn-lt"/>
              <a:ea typeface="+mn-ea"/>
              <a:cs typeface="+mn-cs"/>
            </a:rPr>
            <a:t>From</a:t>
          </a:r>
          <a:r>
            <a:rPr lang="en-GB" sz="1100" b="0" baseline="0">
              <a:solidFill>
                <a:schemeClr val="dk1"/>
              </a:solidFill>
              <a:effectLst/>
              <a:latin typeface="+mn-lt"/>
              <a:ea typeface="+mn-ea"/>
              <a:cs typeface="+mn-cs"/>
            </a:rPr>
            <a:t> analysing the three </a:t>
          </a:r>
          <a:r>
            <a:rPr lang="en-GB" sz="1100" b="1" baseline="0">
              <a:solidFill>
                <a:schemeClr val="dk1"/>
              </a:solidFill>
              <a:effectLst/>
              <a:latin typeface="+mn-lt"/>
              <a:ea typeface="+mn-ea"/>
              <a:cs typeface="+mn-cs"/>
            </a:rPr>
            <a:t>Range Over 10 Run</a:t>
          </a:r>
          <a:r>
            <a:rPr lang="en-GB" sz="1100" b="0" baseline="0">
              <a:solidFill>
                <a:schemeClr val="dk1"/>
              </a:solidFill>
              <a:effectLst/>
              <a:latin typeface="+mn-lt"/>
              <a:ea typeface="+mn-ea"/>
              <a:cs typeface="+mn-cs"/>
            </a:rPr>
            <a:t>" plots:</a:t>
          </a:r>
        </a:p>
        <a:p>
          <a:pPr marL="0" marR="0" lvl="0" indent="0" defTabSz="914400" eaLnBrk="1" fontAlgn="auto" latinLnBrk="0" hangingPunct="1">
            <a:lnSpc>
              <a:spcPct val="100000"/>
            </a:lnSpc>
            <a:spcBef>
              <a:spcPts val="0"/>
            </a:spcBef>
            <a:spcAft>
              <a:spcPts val="0"/>
            </a:spcAft>
            <a:buClrTx/>
            <a:buSzTx/>
            <a:buFontTx/>
            <a:buNone/>
            <a:tabLst/>
            <a:defRPr/>
          </a:pPr>
          <a:r>
            <a:rPr lang="en-GB" sz="1100" b="0" baseline="0">
              <a:solidFill>
                <a:schemeClr val="dk1"/>
              </a:solidFill>
              <a:effectLst/>
              <a:latin typeface="+mn-lt"/>
              <a:ea typeface="+mn-ea"/>
              <a:cs typeface="+mn-cs"/>
            </a:rPr>
            <a:t>1. The tightness is extgremely good for two loops. Gets progressively worse for 4 loops and then for 8 loops.</a:t>
          </a:r>
        </a:p>
        <a:p>
          <a:pPr marL="0" marR="0" lvl="0" indent="0" defTabSz="914400" eaLnBrk="1" fontAlgn="auto" latinLnBrk="0" hangingPunct="1">
            <a:lnSpc>
              <a:spcPct val="100000"/>
            </a:lnSpc>
            <a:spcBef>
              <a:spcPts val="0"/>
            </a:spcBef>
            <a:spcAft>
              <a:spcPts val="0"/>
            </a:spcAft>
            <a:buClrTx/>
            <a:buSzTx/>
            <a:buFontTx/>
            <a:buNone/>
            <a:tabLst/>
            <a:defRPr/>
          </a:pPr>
          <a:r>
            <a:rPr lang="en-GB" sz="1100" b="0" baseline="0">
              <a:solidFill>
                <a:schemeClr val="dk1"/>
              </a:solidFill>
              <a:effectLst/>
              <a:latin typeface="+mn-lt"/>
              <a:ea typeface="+mn-ea"/>
              <a:cs typeface="+mn-cs"/>
            </a:rPr>
            <a:t>2. There is a step change (for the worse) when going to 10 loops. Perhaps because the number of parallel loops now exceeds the number of logical processors on the machine (8 logical processors). The tightness of 14 parallel loops is similar to that of 10 loops, or slightly worse, as expected.</a:t>
          </a:r>
          <a:endParaRPr lang="en-GB">
            <a:effectLst/>
          </a:endParaRPr>
        </a:p>
        <a:p>
          <a:r>
            <a:rPr lang="en-GB" sz="1100" b="0" u="none" baseline="0">
              <a:latin typeface="Aptos Narrow" panose="020B0004020202020204" pitchFamily="34" charset="0"/>
            </a:rPr>
            <a:t>3. There is no clear difference between the tightness of for loops and that of while loops.</a:t>
          </a:r>
        </a:p>
      </xdr:txBody>
    </xdr:sp>
    <xdr:clientData/>
  </xdr:twoCellAnchor>
  <xdr:twoCellAnchor>
    <xdr:from>
      <xdr:col>6</xdr:col>
      <xdr:colOff>409573</xdr:colOff>
      <xdr:row>9</xdr:row>
      <xdr:rowOff>4761</xdr:rowOff>
    </xdr:from>
    <xdr:to>
      <xdr:col>21</xdr:col>
      <xdr:colOff>551323</xdr:colOff>
      <xdr:row>24</xdr:row>
      <xdr:rowOff>66674</xdr:rowOff>
    </xdr:to>
    <xdr:graphicFrame macro="">
      <xdr:nvGraphicFramePr>
        <xdr:cNvPr id="4" name="Chart 3">
          <a:extLst>
            <a:ext uri="{FF2B5EF4-FFF2-40B4-BE49-F238E27FC236}">
              <a16:creationId xmlns:a16="http://schemas.microsoft.com/office/drawing/2014/main" id="{40777B11-4E58-E550-F760-FFCAA5AF0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409573</xdr:colOff>
      <xdr:row>24</xdr:row>
      <xdr:rowOff>180975</xdr:rowOff>
    </xdr:from>
    <xdr:to>
      <xdr:col>21</xdr:col>
      <xdr:colOff>551323</xdr:colOff>
      <xdr:row>40</xdr:row>
      <xdr:rowOff>71438</xdr:rowOff>
    </xdr:to>
    <xdr:graphicFrame macro="">
      <xdr:nvGraphicFramePr>
        <xdr:cNvPr id="5" name="Chart 4">
          <a:extLst>
            <a:ext uri="{FF2B5EF4-FFF2-40B4-BE49-F238E27FC236}">
              <a16:creationId xmlns:a16="http://schemas.microsoft.com/office/drawing/2014/main" id="{58682E8F-0A48-49E9-A103-487B9C370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409573</xdr:colOff>
      <xdr:row>41</xdr:row>
      <xdr:rowOff>57150</xdr:rowOff>
    </xdr:from>
    <xdr:to>
      <xdr:col>21</xdr:col>
      <xdr:colOff>551323</xdr:colOff>
      <xdr:row>56</xdr:row>
      <xdr:rowOff>138113</xdr:rowOff>
    </xdr:to>
    <xdr:graphicFrame macro="">
      <xdr:nvGraphicFramePr>
        <xdr:cNvPr id="6" name="Chart 5">
          <a:extLst>
            <a:ext uri="{FF2B5EF4-FFF2-40B4-BE49-F238E27FC236}">
              <a16:creationId xmlns:a16="http://schemas.microsoft.com/office/drawing/2014/main" id="{0F626BDA-9ADB-4A04-B59E-A3E11B993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409573</xdr:colOff>
      <xdr:row>57</xdr:row>
      <xdr:rowOff>57150</xdr:rowOff>
    </xdr:from>
    <xdr:to>
      <xdr:col>21</xdr:col>
      <xdr:colOff>551323</xdr:colOff>
      <xdr:row>72</xdr:row>
      <xdr:rowOff>138113</xdr:rowOff>
    </xdr:to>
    <xdr:graphicFrame macro="">
      <xdr:nvGraphicFramePr>
        <xdr:cNvPr id="7" name="Chart 6">
          <a:extLst>
            <a:ext uri="{FF2B5EF4-FFF2-40B4-BE49-F238E27FC236}">
              <a16:creationId xmlns:a16="http://schemas.microsoft.com/office/drawing/2014/main" id="{6E446497-9127-40E7-AA5E-97A31DAD6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238125</xdr:colOff>
      <xdr:row>0</xdr:row>
      <xdr:rowOff>200025</xdr:rowOff>
    </xdr:from>
    <xdr:to>
      <xdr:col>15</xdr:col>
      <xdr:colOff>523200</xdr:colOff>
      <xdr:row>7</xdr:row>
      <xdr:rowOff>0</xdr:rowOff>
    </xdr:to>
    <xdr:sp macro="" textlink="">
      <xdr:nvSpPr>
        <xdr:cNvPr id="2" name="TextBox 1">
          <a:extLst>
            <a:ext uri="{FF2B5EF4-FFF2-40B4-BE49-F238E27FC236}">
              <a16:creationId xmlns:a16="http://schemas.microsoft.com/office/drawing/2014/main" id="{7D6B0DF3-8BFD-44AA-A6CC-C9EC13CF15F1}"/>
            </a:ext>
          </a:extLst>
        </xdr:cNvPr>
        <xdr:cNvSpPr txBox="1"/>
      </xdr:nvSpPr>
      <xdr:spPr>
        <a:xfrm>
          <a:off x="9144000" y="200025"/>
          <a:ext cx="8562300" cy="2038350"/>
        </a:xfrm>
        <a:prstGeom prst="rect">
          <a:avLst/>
        </a:prstGeom>
        <a:solidFill>
          <a:srgbClr val="7DC8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latin typeface="Aptos Narrow" panose="020B0004020202020204" pitchFamily="34" charset="0"/>
            </a:rPr>
            <a:t>Experiment Conditions</a:t>
          </a:r>
        </a:p>
        <a:p>
          <a:r>
            <a:rPr lang="en-GB" sz="1100">
              <a:latin typeface="Aptos Narrow" panose="020B0004020202020204" pitchFamily="34" charset="0"/>
            </a:rPr>
            <a:t>VI: Experiment 22.vi</a:t>
          </a:r>
        </a:p>
        <a:p>
          <a:r>
            <a:rPr lang="en-GB" sz="1100">
              <a:latin typeface="Aptos Narrow" panose="020B0004020202020204" pitchFamily="34" charset="0"/>
            </a:rPr>
            <a:t>Machine: Surface Laptop 4</a:t>
          </a:r>
        </a:p>
        <a:p>
          <a:r>
            <a:rPr lang="en-GB" sz="1100">
              <a:latin typeface="Aptos Narrow" panose="020B0004020202020204" pitchFamily="34" charset="0"/>
            </a:rPr>
            <a:t>Date: 16 September 2026</a:t>
          </a:r>
        </a:p>
        <a:p>
          <a:endParaRPr lang="en-GB" sz="1100">
            <a:latin typeface="Aptos Narrow" panose="020B00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Results analysis: When a VI is set to subroutine and inline:</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1. The subroutine takes precedence in the development environment (subroutine restrictions apply).</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2. Inline takes precedence in the compiled code (code is as efficient as when inline is selected and subroutine is not selected).</a:t>
          </a:r>
          <a:endParaRPr lang="en-GB">
            <a:effectLst/>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33FD6C-9125-48D3-B09D-7273E90E8C2F}" name="Table145" displayName="Table145" ref="B2:K17" totalsRowShown="0" headerRowDxfId="350" dataDxfId="349">
  <autoFilter ref="B2:K17" xr:uid="{96A75E7F-C2EB-41A5-B26F-B261A01C9FA5}"/>
  <tableColumns count="10">
    <tableColumn id="1" xr3:uid="{51105478-0A49-406E-BE9D-BF0899B9CDAA}" name="No." dataDxfId="348"/>
    <tableColumn id="2" xr3:uid="{93F5FB59-BCC5-467E-81EB-FA3F61394E48}" name="Time to run 1M calls of &quot;Math SubVI - Simple (NR).vi&quot; (seconds)" dataDxfId="347"/>
    <tableColumn id="3" xr3:uid="{C4344CD5-F194-4A45-A044-6C83A2BF5F22}" name="Time to run 1M calls of &quot;Math SubVI - Simple (SCR).vi&quot; (seconds)" dataDxfId="346"/>
    <tableColumn id="4" xr3:uid="{A72AF856-4445-42F5-BCD4-BE14DD27FBEA}" name="Time to run 1M calls of &quot;Math SubVI - Simple (PCR).vi&quot; (seconds)" dataDxfId="345"/>
    <tableColumn id="5" xr3:uid="{BE54D199-5A22-4933-B8BB-955F84E302D0}" name="Time to run 1M calls of &quot;Math SubVI - Medium (NR).vi&quot; (seconds)" dataDxfId="344"/>
    <tableColumn id="6" xr3:uid="{2CE86734-7A08-49BA-B3F8-512B72006350}" name="Time to run 1M calls of &quot;Math SubVI - Medium (SCR).vi&quot; (seconds)" dataDxfId="343"/>
    <tableColumn id="7" xr3:uid="{15774A99-06D3-4511-B421-A29EF5E155A7}" name="Time to run 1M calls of &quot;Math SubVI - Medium (PCR).vi&quot; (seconds)" dataDxfId="342"/>
    <tableColumn id="8" xr3:uid="{2F681C45-327E-43F1-8C95-B45D4F70899D}" name="Time to run 1M calls of &quot;Math SubVI - Complex (NR).vi&quot; (seconds)" dataDxfId="341"/>
    <tableColumn id="9" xr3:uid="{4A235155-6AA9-4618-ABAD-A6800C9BEAD5}" name="Time to run 1M calls of &quot;Math SubVI - Complex (SCR).vi&quot; (seconds)" dataDxfId="340"/>
    <tableColumn id="10" xr3:uid="{4D0BC62C-EE96-4E2F-9802-FAB40096ED62}" name="Time to run 1M calls of &quot;Math SubVI - Complex (PCR).vi&quot; (seconds)" dataDxfId="339"/>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AD3A01-1873-470F-9251-C168BC497BBC}" name="Table1456" displayName="Table1456" ref="B2:K17" totalsRowShown="0" headerRowDxfId="338" dataDxfId="337">
  <autoFilter ref="B2:K17" xr:uid="{96A75E7F-C2EB-41A5-B26F-B261A01C9FA5}"/>
  <tableColumns count="10">
    <tableColumn id="1" xr3:uid="{821DBF2A-712A-473D-88D0-C088A3055BD9}" name="No." dataDxfId="336"/>
    <tableColumn id="2" xr3:uid="{D534B544-C32C-48A3-BBBD-9E424C0E44CB}" name="Time to run 1M calls of &quot;Math SubVI - Simple (NR).vi&quot; (seconds)" dataDxfId="335"/>
    <tableColumn id="3" xr3:uid="{10BFCC13-C687-4ADB-8A19-6A950941C246}" name="Time to run 1M calls of &quot;Math SubVI - Simple (SCR).vi&quot; (seconds)" dataDxfId="334"/>
    <tableColumn id="4" xr3:uid="{B4871A71-1125-4622-A033-B161ACFE1E6F}" name="Time to run 1M calls of &quot;Math SubVI - Simple (PCR).vi&quot; (seconds)" dataDxfId="333"/>
    <tableColumn id="5" xr3:uid="{77DC270A-62E1-45B3-A33A-6CC2FD4C257D}" name="Time to run 1M calls of &quot;Math SubVI - Medium (NR).vi&quot; (seconds)" dataDxfId="332"/>
    <tableColumn id="6" xr3:uid="{A72C3851-A06C-4C65-A38F-02B8F4BC7E21}" name="Time to run 1M calls of &quot;Math SubVI - Medium (SCR).vi&quot; (seconds)" dataDxfId="331"/>
    <tableColumn id="7" xr3:uid="{2443B69D-1E8B-457B-8DB4-153C21B8FB31}" name="Time to run 1M calls of &quot;Math SubVI - Medium (PCR).vi&quot; (seconds)" dataDxfId="330"/>
    <tableColumn id="8" xr3:uid="{B7AB43BD-1657-48B7-80DC-41049396094D}" name="Time to run 1M calls of &quot;Math SubVI - Complex (NR).vi&quot; (seconds)" dataDxfId="329"/>
    <tableColumn id="9" xr3:uid="{708DBD10-1D79-4A99-87CE-80F0F74C6D5A}" name="Time to run 1M calls of &quot;Math SubVI - Complex (SCR).vi&quot; (seconds)" dataDxfId="328"/>
    <tableColumn id="10" xr3:uid="{1479305E-DE79-4579-972C-67B9A28531A4}" name="Time to run 1M calls of &quot;Math SubVI - Complex (PCR).vi&quot; (seconds)" dataDxfId="327"/>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9429D64-36D0-4AD0-B5B8-24DE4BEC4FFA}" name="Table14567" displayName="Table14567" ref="B2:E17" totalsRowShown="0" headerRowDxfId="326" dataDxfId="325">
  <autoFilter ref="B2:E17" xr:uid="{96A75E7F-C2EB-41A5-B26F-B261A01C9FA5}"/>
  <tableColumns count="4">
    <tableColumn id="1" xr3:uid="{C67F2748-122B-4708-978C-77ABAA6F58D3}" name="No." dataDxfId="324"/>
    <tableColumn id="2" xr3:uid="{78EE8B56-1E8A-483F-A5B2-AAA3FAF0DE44}" name="Time to run 1M calls of NR VIs (chain of Simple and Medium) (seconds)" dataDxfId="323"/>
    <tableColumn id="3" xr3:uid="{F199BFBD-22C8-4E8C-856F-31BFF256494B}" name="Time to run 1M calls of SCR VIs (chain of Simple and Medium) (seconds)" dataDxfId="322"/>
    <tableColumn id="4" xr3:uid="{9C0AF661-5AC1-49D5-984F-A218DEF88868}" name="Time to run 1M calls of PCR VIs (chain of Simple and Medium) (seconds)" dataDxfId="321"/>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6488BF-F43E-4C5E-B19D-BBACA8EC73F5}" name="Table145678" displayName="Table145678" ref="B2:E17" totalsRowShown="0" headerRowDxfId="320" dataDxfId="319">
  <autoFilter ref="B2:E17" xr:uid="{96A75E7F-C2EB-41A5-B26F-B261A01C9FA5}"/>
  <tableColumns count="4">
    <tableColumn id="1" xr3:uid="{717B3FC7-1C5E-4698-A570-C5EC6692ABFB}" name="No." dataDxfId="318"/>
    <tableColumn id="2" xr3:uid="{981485F5-5CD4-4E99-9C4F-DC1669146BC6}" name="Time to run 1M calls of NR VIs (seconds)" dataDxfId="317"/>
    <tableColumn id="3" xr3:uid="{D327AA2B-BD28-49F1-B37D-7DCC5FC85D5F}" name="Time to run 1M calls of SCR VIs (seconds)" dataDxfId="316"/>
    <tableColumn id="4" xr3:uid="{DE6C9D03-E89C-4F59-8DB7-296588ACC601}" name="Time to run 1M calls of PCR VIs (seconds)" dataDxfId="315"/>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20EF250-9480-487C-82DD-7278AE864122}" name="Table1456789" displayName="Table1456789" ref="B2:D17" totalsRowShown="0" headerRowDxfId="314" dataDxfId="313">
  <autoFilter ref="B2:D17" xr:uid="{96A75E7F-C2EB-41A5-B26F-B261A01C9FA5}"/>
  <tableColumns count="3">
    <tableColumn id="1" xr3:uid="{29D987A1-6793-4A3E-8F07-934F0257206A}" name="No." dataDxfId="312"/>
    <tableColumn id="2" xr3:uid="{5D6C7277-7380-448B-A943-5D3C5D2272FA}" name="Time to run 1M calls of NR VIs (seconds)" dataDxfId="311"/>
    <tableColumn id="4" xr3:uid="{DB21B2AB-4CCC-434C-9534-F9561B7A9055}" name="Time to run 1M calls of PCR VIs (seconds)" dataDxfId="310"/>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7A487C5-CD23-43A2-9652-D03EBD1D8A4B}" name="Table145678910" displayName="Table145678910" ref="B2:F12" totalsRowShown="0" headerRowDxfId="309" dataDxfId="308">
  <autoFilter ref="B2:F12" xr:uid="{96A75E7F-C2EB-41A5-B26F-B261A01C9FA5}"/>
  <tableColumns count="5">
    <tableColumn id="1" xr3:uid="{196DC9B9-9B84-4B08-B77C-42A7EB04EA2A}" name="No." dataDxfId="307"/>
    <tableColumn id="2" xr3:uid="{86BE1E8B-3EAC-420E-83E1-AF5C530679D3}" name="Time to run 1M calls of NR DBG OFF VIs (seconds)" dataDxfId="306"/>
    <tableColumn id="4" xr3:uid="{BF6C0FEB-C7BD-44B0-A380-09F944E22A95}" name="Time to run 1M calls of PCR DBG OFF VIs (seconds)" dataDxfId="305"/>
    <tableColumn id="11" xr3:uid="{5A81EFB5-6EE3-421F-86EC-C98794A466FB}" name="Time to run 1M calls of PCR DBG OFF INLN VIs (seconds)" dataDxfId="304"/>
    <tableColumn id="12" xr3:uid="{6C6767C9-D55F-4323-A1E5-0DE3412B0EAC}" name="Time to run 1M calls of PCR SBRTN VIs (seconds)" dataDxfId="303"/>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DB8C6D-E972-465F-8EC0-301FFDCC167A}" name="Table1456789102" displayName="Table1456789102" ref="B2:F12" totalsRowShown="0" headerRowDxfId="302" dataDxfId="301">
  <autoFilter ref="B2:F12" xr:uid="{96A75E7F-C2EB-41A5-B26F-B261A01C9FA5}"/>
  <tableColumns count="5">
    <tableColumn id="1" xr3:uid="{0FBC4F64-2E3A-402C-A985-1C0FF4E57110}" name="No." dataDxfId="300"/>
    <tableColumn id="2" xr3:uid="{BA54B06B-7069-489F-80DD-B96B53E15B98}" name="Time to run 1M calls of NR DBG OFF VIs (seconds)" dataDxfId="299"/>
    <tableColumn id="4" xr3:uid="{D34C50D4-E5A8-45F1-A145-0B5280B107D3}" name="Time to run 1M calls of PCR DBG OFF VIs (seconds)" dataDxfId="298"/>
    <tableColumn id="11" xr3:uid="{75701605-1781-47D0-8A0C-79208FF37B7B}" name="Time to run 1M calls of PCR DBG OFF INLN VIs (seconds)" dataDxfId="297"/>
    <tableColumn id="12" xr3:uid="{2A715119-6095-4696-84AA-01BC1E93E973}" name="Time to run 1M calls of PCR SBRTN VIs (seconds)" dataDxfId="296"/>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5FCB1A-B673-4F1A-A15D-41C686E59F69}" name="Table14567891023" displayName="Table14567891023" ref="B2:Q7" totalsRowShown="0" headerRowDxfId="295" dataDxfId="294">
  <autoFilter ref="B2:Q7" xr:uid="{96A75E7F-C2EB-41A5-B26F-B261A01C9FA5}"/>
  <tableColumns count="16">
    <tableColumn id="1" xr3:uid="{C250E547-2761-4310-9433-B0EEA0E5398D}" name="No." dataDxfId="293"/>
    <tableColumn id="2" xr3:uid="{52F0E896-2F5D-498A-987E-1DEDB2143294}" name="No. Of Iterations Executed - NR VIs - One Loop" dataDxfId="292"/>
    <tableColumn id="4" xr3:uid="{B802B8C9-1F95-4147-9D50-5C787582D9B5}" name="No. Of Iterations Executed - NR VIs - Two Loops" dataDxfId="291"/>
    <tableColumn id="11" xr3:uid="{5919ACB0-D27A-47E5-96D4-336E4342C2BE}" name="No. Of Iterations Executed - NR VIs - Four Loops" dataDxfId="290"/>
    <tableColumn id="12" xr3:uid="{09B77D50-BBA9-4322-A9A7-334FA7A9135B}" name="No. Of Iterations Executed - SCR VIs - One Loop" dataDxfId="289"/>
    <tableColumn id="3" xr3:uid="{8DEF6E70-C978-497A-8580-DE887242FBD2}" name="No. Of Iterations Executed - SCR VIs - Two Loops" dataDxfId="288"/>
    <tableColumn id="5" xr3:uid="{0818A8C5-9ACC-4ACC-8232-812804E5C533}" name="No. Of Iterations Executed - SCR VIs - Four Loops" dataDxfId="287"/>
    <tableColumn id="6" xr3:uid="{B4B51204-3CAC-4379-BE65-15D554582515}" name="No. Of Iterations Executed - PCR VIs - One Loop" dataDxfId="286"/>
    <tableColumn id="7" xr3:uid="{0080E891-2434-4012-8680-1A4D1C490A43}" name="No. Of Iterations Executed - PCR VIs - Two Loops" dataDxfId="285"/>
    <tableColumn id="8" xr3:uid="{F16464E4-0A09-4781-A063-9782D974418E}" name="No. Of Iterations Executed - PCR VIs - Four Loops" dataDxfId="284"/>
    <tableColumn id="9" xr3:uid="{A42C5846-970F-4784-9E0E-9F588031128E}" name="No. Of Iterations Executed - PCR + SBRTN VIs - One Loop" dataDxfId="283"/>
    <tableColumn id="10" xr3:uid="{16D4B378-6691-47B2-8C50-649689758B82}" name="No. Of Iterations Executed - PCR + SBRTN VIs - Two Loops" dataDxfId="282"/>
    <tableColumn id="13" xr3:uid="{AE228AFA-5899-46E7-ACC9-8D8090478E40}" name="No. Of Iterations Executed - PCR + SBRTN VIs - Four Loops" dataDxfId="281"/>
    <tableColumn id="14" xr3:uid="{7686FF95-E24E-4C21-8077-DFCE4DD2911E}" name="No. Of Iterations Executed - PCR + INLN VIs - One Loop" dataDxfId="280"/>
    <tableColumn id="15" xr3:uid="{10E718DF-4C34-4200-91A9-3AE82D8C978E}" name="No. Of Iterations Executed - PCR + INLN VIs - Two Loops" dataDxfId="279"/>
    <tableColumn id="16" xr3:uid="{28AC09C3-39E3-4840-862A-2C041D0A4D28}" name="No. Of Iterations Executed - PCR + INLN VIs - Four Loops" dataDxfId="278"/>
  </tableColumns>
  <tableStyleInfo name="TableStyleLight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F27A62-61EC-49D3-9510-D8C6E118CCC7}" name="Table145678910234" displayName="Table145678910234" ref="B2:J7" totalsRowShown="0" headerRowDxfId="361" dataDxfId="360">
  <autoFilter ref="B2:J7" xr:uid="{96A75E7F-C2EB-41A5-B26F-B261A01C9FA5}"/>
  <tableColumns count="9">
    <tableColumn id="1" xr3:uid="{2C30BCCF-C053-4AE8-9EE3-FE1181BED475}" name="No." dataDxfId="359"/>
    <tableColumn id="9" xr3:uid="{CC99FA51-76C9-489F-9862-6FE76E2BD2DF}" name="No. Of Iterations Executed - PCR + SBRTN VIs - One Loop" dataDxfId="358"/>
    <tableColumn id="10" xr3:uid="{35A6894D-6388-48B1-BA86-EB2F6A0A5BF1}" name="No. Of Iterations Executed - PCR + SBRTN VIs - Two Loops" dataDxfId="357"/>
    <tableColumn id="13" xr3:uid="{CDABF82D-0DD2-4C93-A804-AA9BA2ACFA14}" name="No. Of Iterations Executed - PCR + SBRTN VIs - Four Loops" dataDxfId="356"/>
    <tableColumn id="14" xr3:uid="{B14EB8CE-88A8-4BC1-83C6-2F3B50380DCB}" name="No. Of Iterations Executed - PCR + INLN VIs - One Loop" dataDxfId="355"/>
    <tableColumn id="15" xr3:uid="{93EA9343-81BE-4D1A-946A-BA5F1559F211}" name="No. Of Iterations Executed - PCR + INLN VIs - Two Loops" dataDxfId="354"/>
    <tableColumn id="16" xr3:uid="{1AF54A71-875E-4446-B309-019101E08611}" name="No. Of Iterations Executed - PCR + INLN VIs - Four Loops" dataDxfId="353"/>
    <tableColumn id="19" xr3:uid="{ED5C7712-20CD-4461-821F-CF416F720380}" name="No. Of Iterations Executed - PCR + SBRTN VIs - Four Loops (EXE)" dataDxfId="352"/>
    <tableColumn id="22" xr3:uid="{02D713D6-0B47-46AD-BC0D-D69C9F291E10}" name="No. Of Iterations Executed - PCR + INLN VIs - Four Loops (EXE)" dataDxfId="351"/>
  </tableColumns>
  <tableStyleInfo name="TableStyleLight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91963EB-108F-46BD-9A04-BAB81BA82E52}" name="Table14567891023411" displayName="Table14567891023411" ref="B2:D5" totalsRowShown="0" headerRowDxfId="277" dataDxfId="276">
  <autoFilter ref="B2:D5" xr:uid="{96A75E7F-C2EB-41A5-B26F-B261A01C9FA5}"/>
  <tableColumns count="3">
    <tableColumn id="1" xr3:uid="{6915AA01-8A6D-4A78-8DA6-CA08E239BBF1}" name="No." dataDxfId="275"/>
    <tableColumn id="9" xr3:uid="{7123623F-22E9-4DA3-B125-B1C0A195D6E9}" name="File Size of &quot;Experiment 12.exe&quot; when using subroutine VIs (bytes)" dataDxfId="274"/>
    <tableColumn id="10" xr3:uid="{41387D36-F047-4A51-ABA8-23502A7FD025}" name="File Size of &quot;Experiment 12.exe&quot; when using inline VIs (bytes)" dataDxfId="273"/>
  </tableColumns>
  <tableStyleInfo name="TableStyleLight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F82E2FE-29F0-4847-8985-21ED86AA9657}" name="Table1456789102341112" displayName="Table1456789102341112" ref="B2:L12" totalsRowShown="0" headerRowDxfId="272" dataDxfId="271">
  <autoFilter ref="B2:L12" xr:uid="{96A75E7F-C2EB-41A5-B26F-B261A01C9FA5}"/>
  <tableColumns count="11">
    <tableColumn id="1" xr3:uid="{36D21FBE-B806-48FF-80C4-7F2DA042255A}" name="No." dataDxfId="270"/>
    <tableColumn id="9" xr3:uid="{CE21D440-1D4A-406B-84C3-F7E37FAB8930}" name="No. Of Iterations Block Of Text - Run 1" dataDxfId="269"/>
    <tableColumn id="10" xr3:uid="{243ACD98-4715-4173-9477-9B7F434F0B9A}" name="No. Of Iterations Block Of Text - Run 2" dataDxfId="268"/>
    <tableColumn id="2" xr3:uid="{2C5607EC-AD18-43E0-9829-B6C9878111D2}" name="No. Of Iterations Block Of Text - Run 3" dataDxfId="267"/>
    <tableColumn id="3" xr3:uid="{9B5F8C4C-76AB-42C6-93F7-105881EB8990}" name="No. Of Iterations Block Of Text - Run 4" dataDxfId="266"/>
    <tableColumn id="4" xr3:uid="{89AED1A9-8550-48CD-87BD-B283F41880BC}" name="No. Of Iterations Block Of Text - Run 5" dataDxfId="265"/>
    <tableColumn id="5" xr3:uid="{2EEB4A40-BFA9-4457-8140-F77FBD79EA76}" name="No. Of Iterations Block Of Text - Run 6" dataDxfId="264"/>
    <tableColumn id="6" xr3:uid="{1C2B6C28-29E7-4AB0-83E9-F3C0346D968E}" name="No. Of Iterations Block Of Text - Run 7" dataDxfId="263"/>
    <tableColumn id="7" xr3:uid="{13329A08-E4A8-4BD0-A20B-D9DA810427A8}" name="No. Of Iterations Block Of Text - Run 8" dataDxfId="262"/>
    <tableColumn id="8" xr3:uid="{3891AA21-0171-440E-A5F8-BDA31F51F0E5}" name="No. Of Iterations Block Of Text - Run 9" dataDxfId="261"/>
    <tableColumn id="11" xr3:uid="{F8773D40-A606-429B-8DFE-DEE9EA33E16F}" name="No. Of Iterations Block Of Text - Run 10" dataDxfId="260"/>
  </tableColumns>
  <tableStyleInfo name="TableStyleLight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8945BAE-CC7E-4850-AF39-E7C000E423AF}" name="Table145678910234111213" displayName="Table145678910234111213" ref="B24:L34" totalsRowShown="0" headerRowDxfId="259" dataDxfId="258">
  <autoFilter ref="B24:L34" xr:uid="{C8945BAE-CC7E-4850-AF39-E7C000E423AF}"/>
  <tableColumns count="11">
    <tableColumn id="1" xr3:uid="{FACAB3DE-369E-4E2F-B9BA-F37243BF2F16}" name="No." dataDxfId="257"/>
    <tableColumn id="9" xr3:uid="{A9D3CCBA-4911-498D-9E80-92CA4F58F93F}" name="No. Of Iterations Block Of Text - Run 1" dataDxfId="256"/>
    <tableColumn id="10" xr3:uid="{4156EB65-21D0-4337-B5DF-5F230913FFA7}" name="No. Of Iterations Block Of Text - Run 2" dataDxfId="255"/>
    <tableColumn id="2" xr3:uid="{86A7D573-F31A-4F8E-AFDF-AFDE58CB4AB7}" name="No. Of Iterations Block Of Text - Run 3" dataDxfId="254"/>
    <tableColumn id="3" xr3:uid="{D08649B3-1EF3-4EE8-AC43-E28B4A26199C}" name="No. Of Iterations Block Of Text - Run 4" dataDxfId="253"/>
    <tableColumn id="4" xr3:uid="{82389203-4272-4C66-90B5-2FCF82139DCD}" name="No. Of Iterations Block Of Text - Run 5" dataDxfId="252"/>
    <tableColumn id="5" xr3:uid="{FAE12CA6-0CFA-45AE-A51F-521CD490D3E9}" name="No. Of Iterations Block Of Text - Run 6" dataDxfId="251"/>
    <tableColumn id="6" xr3:uid="{847FA716-D750-422B-90EC-669ACEA501B3}" name="No. Of Iterations Block Of Text - Run 7" dataDxfId="250"/>
    <tableColumn id="7" xr3:uid="{562FDD79-3D93-4601-A252-722C3815C994}" name="No. Of Iterations Block Of Text - Run 8" dataDxfId="249"/>
    <tableColumn id="8" xr3:uid="{3FA43A91-F962-4CAC-AACD-75A3D4F718A0}" name="No. Of Iterations Block Of Text - Run 9" dataDxfId="248"/>
    <tableColumn id="11" xr3:uid="{7F297A4E-3C93-4E2E-9B8E-292AA45840DE}" name="No. Of Iterations Block Of Text - Run 10" dataDxfId="247"/>
  </tableColumns>
  <tableStyleInfo name="TableStyleLight1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FF08223-0101-4DBA-A867-65727E034062}" name="Table145678910234111214" displayName="Table145678910234111214" ref="B2:L6" totalsRowShown="0" headerRowDxfId="246" dataDxfId="245">
  <autoFilter ref="B2:L6" xr:uid="{96A75E7F-C2EB-41A5-B26F-B261A01C9FA5}"/>
  <tableColumns count="11">
    <tableColumn id="1" xr3:uid="{9723956B-2F06-4EB5-A329-D73DEF9978F0}" name="No." dataDxfId="244"/>
    <tableColumn id="9" xr3:uid="{CE85AD30-0CF9-4ABA-9EDB-284A96E3AF2D}" name="No. Of Iterations Block Of Text - Run 1" dataDxfId="243"/>
    <tableColumn id="10" xr3:uid="{10791CF9-F597-415B-B0A4-88B9E6EFF689}" name="No. Of Iterations Block Of Text - Run 2" dataDxfId="242"/>
    <tableColumn id="2" xr3:uid="{3BC90E3D-2279-4C2B-91A6-80238B612D43}" name="No. Of Iterations Block Of Text - Run 3" dataDxfId="241"/>
    <tableColumn id="3" xr3:uid="{46F09CEC-3EF8-4FB5-9E19-6D3F9D93649F}" name="No. Of Iterations Block Of Text - Run 4" dataDxfId="240"/>
    <tableColumn id="4" xr3:uid="{8EA4F9E5-7B3C-4140-8CB6-38D0962847F9}" name="No. Of Iterations Block Of Text - Run 5" dataDxfId="239"/>
    <tableColumn id="5" xr3:uid="{28D2D245-2E5C-47B2-A1D0-7B5D10A90FBC}" name="No. Of Iterations Block Of Text - Run 6" dataDxfId="238"/>
    <tableColumn id="6" xr3:uid="{31E528A4-3761-4A5D-A8D8-123C4C8DD8A2}" name="No. Of Iterations Block Of Text - Run 7" dataDxfId="237"/>
    <tableColumn id="7" xr3:uid="{83B537BE-EED1-4154-BCE1-B5D5B7060042}" name="No. Of Iterations Block Of Text - Run 8" dataDxfId="236"/>
    <tableColumn id="8" xr3:uid="{F43FA610-A459-45AC-BC23-FD66D2E24EEA}" name="No. Of Iterations Block Of Text - Run 9" dataDxfId="235"/>
    <tableColumn id="11" xr3:uid="{CEAEBCC4-6F2D-4FC4-A7FB-B0441EA7D087}" name="No. Of Iterations Block Of Text - Run 10" dataDxfId="234"/>
  </tableColumns>
  <tableStyleInfo name="TableStyleLight1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A68B247-091A-425B-A32A-AB315D5B03CF}" name="Table14567891023411121315" displayName="Table14567891023411121315" ref="B18:L22" totalsRowShown="0" headerRowDxfId="233" dataDxfId="232">
  <autoFilter ref="B18:L22" xr:uid="{C8945BAE-CC7E-4850-AF39-E7C000E423AF}"/>
  <tableColumns count="11">
    <tableColumn id="1" xr3:uid="{4E9E0639-B2A2-44C0-9275-F44750E9184C}" name="No." dataDxfId="231"/>
    <tableColumn id="9" xr3:uid="{91B77E54-2A1F-4F29-98BF-41BC40864D49}" name="No. Of Iterations Block Of Text - Run 1" dataDxfId="230"/>
    <tableColumn id="10" xr3:uid="{D9F6B38C-C800-4A5F-976D-16C21CABF748}" name="No. Of Iterations Block Of Text - Run 2" dataDxfId="229"/>
    <tableColumn id="2" xr3:uid="{645EBBEA-66E5-4BF6-ABAD-53E925EEAE7D}" name="No. Of Iterations Block Of Text - Run 3" dataDxfId="228"/>
    <tableColumn id="3" xr3:uid="{6E8151B1-AE0C-422B-9432-50B378834EE0}" name="No. Of Iterations Block Of Text - Run 4" dataDxfId="227"/>
    <tableColumn id="4" xr3:uid="{4ED4F4C7-2008-4341-992E-1EBA1BE745C9}" name="No. Of Iterations Block Of Text - Run 5" dataDxfId="226"/>
    <tableColumn id="5" xr3:uid="{E41F6CFB-970E-4D96-AFFA-6F3E60B989C7}" name="No. Of Iterations Block Of Text - Run 6" dataDxfId="225"/>
    <tableColumn id="6" xr3:uid="{E5E3F9DA-6C24-45BE-993B-E3D7FDDFF380}" name="No. Of Iterations Block Of Text - Run 7" dataDxfId="224"/>
    <tableColumn id="7" xr3:uid="{19D743B1-7877-4307-83DE-288B0444A044}" name="No. Of Iterations Block Of Text - Run 8" dataDxfId="223"/>
    <tableColumn id="8" xr3:uid="{FA31981C-1172-48DB-913E-684E426C9148}" name="No. Of Iterations Block Of Text - Run 9" dataDxfId="222"/>
    <tableColumn id="11" xr3:uid="{1E8952C4-6513-4476-BAAC-30D2E7880456}" name="No. Of Iterations Block Of Text - Run 10" dataDxfId="221"/>
  </tableColumns>
  <tableStyleInfo name="TableStyleLight1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F134EE8-FFF4-4692-8CD8-FBA2568073E4}" name="Table14567891023411121416" displayName="Table14567891023411121416" ref="B2:L4" totalsRowShown="0" headerRowDxfId="220" dataDxfId="219">
  <autoFilter ref="B2:L4" xr:uid="{96A75E7F-C2EB-41A5-B26F-B261A01C9FA5}"/>
  <tableColumns count="11">
    <tableColumn id="1" xr3:uid="{563B4DBC-8419-4C71-B83B-92DB910114BB}" name="No." dataDxfId="218"/>
    <tableColumn id="9" xr3:uid="{E3C7B088-0B70-4566-8599-B954E8897091}" name="No. Of Iterations Block Of Text - Run 1" dataDxfId="217"/>
    <tableColumn id="10" xr3:uid="{CBEBA337-0524-44FA-B550-029C36DCE9BD}" name="No. Of Iterations Block Of Text - Run 2" dataDxfId="216"/>
    <tableColumn id="2" xr3:uid="{6663F0EA-936A-4E01-BB96-BBDB8984E843}" name="No. Of Iterations Block Of Text - Run 3" dataDxfId="215"/>
    <tableColumn id="3" xr3:uid="{7DA0BB20-3FA4-4455-B037-D7B349A8A77B}" name="No. Of Iterations Block Of Text - Run 4" dataDxfId="214"/>
    <tableColumn id="4" xr3:uid="{B2B36A1B-D138-45A6-A532-ECDFA727E432}" name="No. Of Iterations Block Of Text - Run 5" dataDxfId="213"/>
    <tableColumn id="5" xr3:uid="{4425ADB0-C057-482B-A40D-1AA8FE6D2E07}" name="No. Of Iterations Block Of Text - Run 6" dataDxfId="212"/>
    <tableColumn id="6" xr3:uid="{4776D1ED-D4C2-4B83-BB22-6D08E2C71A37}" name="No. Of Iterations Block Of Text - Run 7" dataDxfId="211"/>
    <tableColumn id="7" xr3:uid="{15C1DF64-7F56-4EA8-9848-555E066E2BF9}" name="No. Of Iterations Block Of Text - Run 8" dataDxfId="210"/>
    <tableColumn id="8" xr3:uid="{7167C154-14FA-4EEF-AA50-52723515F0D8}" name="No. Of Iterations Block Of Text - Run 9" dataDxfId="209"/>
    <tableColumn id="11" xr3:uid="{85946584-561D-49C2-9FFC-01E74B30C6AE}" name="No. Of Iterations Block Of Text - Run 10" dataDxfId="208"/>
  </tableColumns>
  <tableStyleInfo name="TableStyleLight1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148D031-634B-4271-BE33-DAA770C4C8A6}" name="Table1456789102341112131517" displayName="Table1456789102341112131517" ref="B16:L18" totalsRowShown="0" headerRowDxfId="207" dataDxfId="206">
  <autoFilter ref="B16:L18" xr:uid="{C8945BAE-CC7E-4850-AF39-E7C000E423AF}"/>
  <tableColumns count="11">
    <tableColumn id="1" xr3:uid="{7ED379A7-F68C-49B0-AF53-D3D978E0C4A6}" name="No." dataDxfId="205"/>
    <tableColumn id="9" xr3:uid="{9433E8D3-7D8E-499F-AA85-EFAC9B409B8C}" name="No. Of Iterations Block Of Text - Run 1" dataDxfId="204"/>
    <tableColumn id="10" xr3:uid="{7D3F005D-7773-4545-BB13-64CEAC752381}" name="No. Of Iterations Block Of Text - Run 2" dataDxfId="203"/>
    <tableColumn id="2" xr3:uid="{4C618A95-0EC6-4C66-9B00-7A95E7D19AA6}" name="No. Of Iterations Block Of Text - Run 3" dataDxfId="202"/>
    <tableColumn id="3" xr3:uid="{7CC6A46B-F62A-4BD1-A7C5-33300A32C42A}" name="No. Of Iterations Block Of Text - Run 4" dataDxfId="201"/>
    <tableColumn id="4" xr3:uid="{29DC9809-2A92-43F6-81C7-E039D27717C4}" name="No. Of Iterations Block Of Text - Run 5" dataDxfId="200"/>
    <tableColumn id="5" xr3:uid="{393DF006-966A-4655-BD30-E23A7F0E2C78}" name="No. Of Iterations Block Of Text - Run 6" dataDxfId="199"/>
    <tableColumn id="6" xr3:uid="{693B056A-1B34-498B-89B7-4DE10003FDDD}" name="No. Of Iterations Block Of Text - Run 7" dataDxfId="198"/>
    <tableColumn id="7" xr3:uid="{65E8401E-2C02-4CAA-B8C8-4D955C391697}" name="No. Of Iterations Block Of Text - Run 8" dataDxfId="197"/>
    <tableColumn id="8" xr3:uid="{6BEB96CD-B11D-46F5-A709-19A12EFF9FC5}" name="No. Of Iterations Block Of Text - Run 9" dataDxfId="196"/>
    <tableColumn id="11" xr3:uid="{EF9A0540-3152-45E7-AE74-F98509E72864}" name="No. Of Iterations Block Of Text - Run 10" dataDxfId="195"/>
  </tableColumns>
  <tableStyleInfo name="TableStyleLight16"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B007A68-28F9-4A94-8179-F9EE9BD8A269}" name="Table1456789102341112141618" displayName="Table1456789102341112141618" ref="B2:L4" totalsRowShown="0" headerRowDxfId="194" dataDxfId="193">
  <autoFilter ref="B2:L4" xr:uid="{96A75E7F-C2EB-41A5-B26F-B261A01C9FA5}"/>
  <tableColumns count="11">
    <tableColumn id="1" xr3:uid="{3B302D75-CEDC-4589-9E93-3AAF397706F9}" name="No." dataDxfId="192"/>
    <tableColumn id="9" xr3:uid="{551330E5-B519-46E8-B43E-ED48B4092223}" name="No. Of Iterations Block Of Text - Run 1" dataDxfId="191"/>
    <tableColumn id="10" xr3:uid="{2C40214E-463A-448D-806F-0DA7203AC6B5}" name="No. Of Iterations Block Of Text - Run 2" dataDxfId="190"/>
    <tableColumn id="2" xr3:uid="{DFEED214-E356-4A8A-8880-3D1C07105BFB}" name="No. Of Iterations Block Of Text - Run 3" dataDxfId="189"/>
    <tableColumn id="3" xr3:uid="{9EBC9A12-6034-401C-BCBC-2CF186983DDD}" name="No. Of Iterations Block Of Text - Run 4" dataDxfId="188"/>
    <tableColumn id="4" xr3:uid="{F7195460-1D38-4280-AC3E-14D3CCD170F3}" name="No. Of Iterations Block Of Text - Run 5" dataDxfId="187"/>
    <tableColumn id="5" xr3:uid="{947A3786-C25D-48C0-953E-A4056092459F}" name="No. Of Iterations Block Of Text - Run 6" dataDxfId="186"/>
    <tableColumn id="6" xr3:uid="{BD987924-9C7E-4125-80BB-BAD709763504}" name="No. Of Iterations Block Of Text - Run 7" dataDxfId="185"/>
    <tableColumn id="7" xr3:uid="{2B369275-641D-4052-A6F0-0F428BCC20E4}" name="No. Of Iterations Block Of Text - Run 8" dataDxfId="184"/>
    <tableColumn id="8" xr3:uid="{946730B5-926D-4F36-A64A-F0B9250541D4}" name="No. Of Iterations Block Of Text - Run 9" dataDxfId="183"/>
    <tableColumn id="11" xr3:uid="{9086B106-B7E2-4F0E-A313-01DA6944E4AB}" name="No. Of Iterations Block Of Text - Run 10" dataDxfId="182"/>
  </tableColumns>
  <tableStyleInfo name="TableStyleLight1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2942693-8EBF-45F7-B8F7-39154A6AD219}" name="Table145678910234111213151719" displayName="Table145678910234111213151719" ref="B16:L18" totalsRowShown="0" headerRowDxfId="181" dataDxfId="180">
  <autoFilter ref="B16:L18" xr:uid="{C8945BAE-CC7E-4850-AF39-E7C000E423AF}"/>
  <tableColumns count="11">
    <tableColumn id="1" xr3:uid="{3B0DF23D-7DBD-4E8D-8875-318F7F362E81}" name="No." dataDxfId="179"/>
    <tableColumn id="9" xr3:uid="{8175C611-7CDA-4EF5-B58A-A42F72F8509B}" name="No. Of Iterations Block Of Text - Run 1" dataDxfId="178"/>
    <tableColumn id="10" xr3:uid="{F78CA5F7-AF8A-4C33-AC87-A4502EC227F3}" name="No. Of Iterations Block Of Text - Run 2" dataDxfId="177"/>
    <tableColumn id="2" xr3:uid="{A915A010-84E3-412B-B34F-F16F91AEDD9B}" name="No. Of Iterations Block Of Text - Run 3" dataDxfId="176"/>
    <tableColumn id="3" xr3:uid="{A1D426BF-8372-4992-A823-252F08958BA6}" name="No. Of Iterations Block Of Text - Run 4" dataDxfId="175"/>
    <tableColumn id="4" xr3:uid="{EB91BE6E-6375-4BB2-A5B6-C54C729AD913}" name="No. Of Iterations Block Of Text - Run 5" dataDxfId="174"/>
    <tableColumn id="5" xr3:uid="{9EF51F0F-5112-4E04-9F48-DF4445C11A69}" name="No. Of Iterations Block Of Text - Run 6" dataDxfId="173"/>
    <tableColumn id="6" xr3:uid="{D43EE481-D754-4E11-A1C1-321C991D0BBA}" name="No. Of Iterations Block Of Text - Run 7" dataDxfId="172"/>
    <tableColumn id="7" xr3:uid="{52DC2680-ADF9-4BAA-828A-285A68FE1D4F}" name="No. Of Iterations Block Of Text - Run 8" dataDxfId="171"/>
    <tableColumn id="8" xr3:uid="{F5689EFF-351B-4D49-ABF9-E8512CF88C26}" name="No. Of Iterations Block Of Text - Run 9" dataDxfId="170"/>
    <tableColumn id="11" xr3:uid="{4F2CDF88-33F2-460D-ADDF-F7BADB3751E8}" name="No. Of Iterations Block Of Text - Run 10" dataDxfId="169"/>
  </tableColumns>
  <tableStyleInfo name="TableStyleLight1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AEB7EFA-6722-43C6-8122-00CCD823150B}" name="Table14567891023411121420" displayName="Table14567891023411121420" ref="B2:L6" totalsRowShown="0" headerRowDxfId="168" dataDxfId="167">
  <autoFilter ref="B2:L6" xr:uid="{96A75E7F-C2EB-41A5-B26F-B261A01C9FA5}"/>
  <tableColumns count="11">
    <tableColumn id="1" xr3:uid="{B1C1304A-591A-47A4-9DCF-698617945B21}" name="No." dataDxfId="166"/>
    <tableColumn id="9" xr3:uid="{D0B4062E-4FD5-4E35-84A4-107EB364046B}" name="No. Of Iterations Block Of Text - Run 1" dataDxfId="165"/>
    <tableColumn id="10" xr3:uid="{ED2616F5-AEE0-464D-B06F-93A4EC08ED48}" name="No. Of Iterations Block Of Text - Run 2" dataDxfId="164"/>
    <tableColumn id="2" xr3:uid="{977FE263-5E82-48A1-B09E-2B8C38504FB1}" name="No. Of Iterations Block Of Text - Run 3" dataDxfId="163"/>
    <tableColumn id="3" xr3:uid="{3666B8CA-17E8-4387-953A-52C61FFB01D0}" name="No. Of Iterations Block Of Text - Run 4" dataDxfId="162"/>
    <tableColumn id="4" xr3:uid="{B47FB154-64E4-4ED2-8D46-5136B55F4481}" name="No. Of Iterations Block Of Text - Run 5" dataDxfId="161"/>
    <tableColumn id="5" xr3:uid="{03669A13-AC34-4393-B31D-90862E52E7D1}" name="No. Of Iterations Block Of Text - Run 6" dataDxfId="160"/>
    <tableColumn id="6" xr3:uid="{415771AE-C04A-452A-82C9-4031A87BBB79}" name="No. Of Iterations Block Of Text - Run 7" dataDxfId="159"/>
    <tableColumn id="7" xr3:uid="{68897772-B2B6-4465-9F60-C80414E81D40}" name="No. Of Iterations Block Of Text - Run 8" dataDxfId="158"/>
    <tableColumn id="8" xr3:uid="{0370CB15-DFDE-4A2F-8D85-791B36C40C45}" name="No. Of Iterations Block Of Text - Run 9" dataDxfId="157"/>
    <tableColumn id="11" xr3:uid="{D747B1A3-5017-471D-948A-D1040C6A2E7D}" name="No. Of Iterations Block Of Text - Run 10" dataDxfId="156"/>
  </tableColumns>
  <tableStyleInfo name="TableStyleLight1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BA3147F-732A-4E77-9EBB-6A25BC410E99}" name="Table1456789102341112131521" displayName="Table1456789102341112131521" ref="B18:L22" totalsRowShown="0" headerRowDxfId="155" dataDxfId="154">
  <autoFilter ref="B18:L22" xr:uid="{C8945BAE-CC7E-4850-AF39-E7C000E423AF}"/>
  <tableColumns count="11">
    <tableColumn id="1" xr3:uid="{C51F329E-0A7B-4CA2-8850-441C5782F250}" name="No." dataDxfId="153"/>
    <tableColumn id="9" xr3:uid="{5ABBE4FB-D802-4470-9017-D3500FB9D1B3}" name="No. Of Iterations Block Of Text - Run 1" dataDxfId="152"/>
    <tableColumn id="10" xr3:uid="{8278F90A-404A-4A99-880B-400ADEAAB17E}" name="No. Of Iterations Block Of Text - Run 2" dataDxfId="151"/>
    <tableColumn id="2" xr3:uid="{D2F45E54-5454-49B7-B102-31142C78CB55}" name="No. Of Iterations Block Of Text - Run 3" dataDxfId="150"/>
    <tableColumn id="3" xr3:uid="{ABF672B9-9B9F-48D1-9560-2F183244D86A}" name="No. Of Iterations Block Of Text - Run 4" dataDxfId="149"/>
    <tableColumn id="4" xr3:uid="{EB926553-72F3-4775-9EB7-3EBB5C27C0C5}" name="No. Of Iterations Block Of Text - Run 5" dataDxfId="148"/>
    <tableColumn id="5" xr3:uid="{71D0F996-61B9-45E4-BE5D-3F32BCDFE205}" name="No. Of Iterations Block Of Text - Run 6" dataDxfId="147"/>
    <tableColumn id="6" xr3:uid="{A5F488D7-8F8D-4EE0-B0D3-4F59F614A9D9}" name="No. Of Iterations Block Of Text - Run 7" dataDxfId="146"/>
    <tableColumn id="7" xr3:uid="{CB015A43-C67D-47EF-B7E0-05B8642E9B1B}" name="No. Of Iterations Block Of Text - Run 8" dataDxfId="145"/>
    <tableColumn id="8" xr3:uid="{DBFCA8FA-7EBC-4E17-844F-78ADF775822D}" name="No. Of Iterations Block Of Text - Run 9" dataDxfId="144"/>
    <tableColumn id="11" xr3:uid="{62FD256A-3F1C-4177-8109-C325C5EBF9EA}" name="No. Of Iterations Block Of Text - Run 10" dataDxfId="143"/>
  </tableColumns>
  <tableStyleInfo name="TableStyleLight16"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B047E35-8A45-4903-96D0-41B5806D0207}" name="Table145678910234111224" displayName="Table145678910234111224" ref="B2:L12" totalsRowShown="0" headerRowDxfId="142" dataDxfId="141">
  <autoFilter ref="B2:L12" xr:uid="{96A75E7F-C2EB-41A5-B26F-B261A01C9FA5}"/>
  <tableColumns count="11">
    <tableColumn id="1" xr3:uid="{77B16F32-1CF9-4DBC-9E94-4C4E1523FE2C}" name="No." dataDxfId="140"/>
    <tableColumn id="9" xr3:uid="{800563B6-C29D-44B0-92A4-4D82CF20EA79}" name="No. Of Iterations Block Of Text - Run 1" dataDxfId="139"/>
    <tableColumn id="10" xr3:uid="{FEF1C6FC-F650-4CF1-A052-F50D847C507F}" name="No. Of Iterations Block Of Text - Run 2" dataDxfId="138"/>
    <tableColumn id="2" xr3:uid="{D388961D-5DBF-473C-81CC-0AAAB1F1D21D}" name="No. Of Iterations Block Of Text - Run 3" dataDxfId="137"/>
    <tableColumn id="3" xr3:uid="{99004626-2B78-44C0-BAB7-CF324D173DCC}" name="No. Of Iterations Block Of Text - Run 4" dataDxfId="136"/>
    <tableColumn id="4" xr3:uid="{B94AA053-69C0-41A6-8E67-159CA1369836}" name="No. Of Iterations Block Of Text - Run 5" dataDxfId="135"/>
    <tableColumn id="5" xr3:uid="{ADBBF05A-BE87-4B1F-9975-C9A42EF35747}" name="No. Of Iterations Block Of Text - Run 6" dataDxfId="134"/>
    <tableColumn id="6" xr3:uid="{B79124DD-0C8B-4BEA-99A8-D20F9DBBF0B4}" name="No. Of Iterations Block Of Text - Run 7" dataDxfId="133"/>
    <tableColumn id="7" xr3:uid="{79471A2B-CF8F-40CE-BD48-6134ECAE60CB}" name="No. Of Iterations Block Of Text - Run 8" dataDxfId="132"/>
    <tableColumn id="8" xr3:uid="{74EDE917-1CC9-4965-AED4-126B1CB5F779}" name="No. Of Iterations Block Of Text - Run 9" dataDxfId="131"/>
    <tableColumn id="11" xr3:uid="{3B3D7C1A-F087-4999-91A9-6E7BCA0C0D63}" name="No. Of Iterations Block Of Text - Run 10" dataDxfId="130"/>
  </tableColumns>
  <tableStyleInfo name="TableStyleLight16"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F406EAA-9ACD-436D-BD5A-E90615D3427A}" name="Table14567891023411121325" displayName="Table14567891023411121325" ref="B24:L34" totalsRowShown="0" headerRowDxfId="129" dataDxfId="128">
  <autoFilter ref="B24:L34" xr:uid="{C8945BAE-CC7E-4850-AF39-E7C000E423AF}"/>
  <tableColumns count="11">
    <tableColumn id="1" xr3:uid="{8CFC0EEE-228F-43CB-989D-50EEB864C4BC}" name="No." dataDxfId="127"/>
    <tableColumn id="9" xr3:uid="{F1EB3786-3A9C-4C55-8291-90363C9F302F}" name="No. Of Iterations Block Of Text - Run 1" dataDxfId="126"/>
    <tableColumn id="10" xr3:uid="{7E7C6D18-F9C8-4689-88CB-ED026704E215}" name="No. Of Iterations Block Of Text - Run 2" dataDxfId="125"/>
    <tableColumn id="2" xr3:uid="{CF8382D7-1C93-474B-9B65-2DC72559B9B5}" name="No. Of Iterations Block Of Text - Run 3" dataDxfId="124"/>
    <tableColumn id="3" xr3:uid="{18C6C2F4-AA7B-4017-9BFA-87A041BB8EC8}" name="No. Of Iterations Block Of Text - Run 4" dataDxfId="123"/>
    <tableColumn id="4" xr3:uid="{9E03E17C-FE60-4DA8-A667-F92AB53DB7AF}" name="No. Of Iterations Block Of Text - Run 5" dataDxfId="122"/>
    <tableColumn id="5" xr3:uid="{F769238A-27AB-407F-BA38-DF617C909214}" name="No. Of Iterations Block Of Text - Run 6" dataDxfId="121"/>
    <tableColumn id="6" xr3:uid="{8CC97584-E3CB-4898-B657-936B640289DB}" name="No. Of Iterations Block Of Text - Run 7" dataDxfId="120"/>
    <tableColumn id="7" xr3:uid="{9A20DB3A-6213-411A-AC77-57D1B3B4D3E0}" name="No. Of Iterations Block Of Text - Run 8" dataDxfId="119"/>
    <tableColumn id="8" xr3:uid="{31D0B23D-DEED-47B9-BC02-243677CD6DE2}" name="No. Of Iterations Block Of Text - Run 9" dataDxfId="118"/>
    <tableColumn id="11" xr3:uid="{79031121-A460-43FE-A72A-AA2A30671DD4}" name="No. Of Iterations Block Of Text - Run 10" dataDxfId="117"/>
  </tableColumns>
  <tableStyleInfo name="TableStyleLight16"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08058E-B46C-406D-AE2A-9A9C9E706A43}" name="Table145678910234111228" displayName="Table145678910234111228" ref="B2:L10" totalsRowShown="0" headerRowDxfId="116" dataDxfId="115">
  <autoFilter ref="B2:L10" xr:uid="{96A75E7F-C2EB-41A5-B26F-B261A01C9FA5}"/>
  <tableColumns count="11">
    <tableColumn id="1" xr3:uid="{353D8FE8-9157-4543-B91D-983A09CE2D16}" name="No." dataDxfId="114"/>
    <tableColumn id="9" xr3:uid="{2DFCE314-6BE8-4DAC-BC49-38AA660791CE}" name="No. Of Iterations Block Of Text - Run 1" dataDxfId="113"/>
    <tableColumn id="10" xr3:uid="{5FBBFBC4-4E1D-4F5A-9018-AD06376A6F52}" name="No. Of Iterations Block Of Text - Run 2" dataDxfId="112"/>
    <tableColumn id="2" xr3:uid="{0AE38834-DB6B-49D4-8E90-DDB060A46A21}" name="No. Of Iterations Block Of Text - Run 3" dataDxfId="111"/>
    <tableColumn id="3" xr3:uid="{2D4A6334-1E4C-4185-BE5D-1C601F1B964F}" name="No. Of Iterations Block Of Text - Run 4" dataDxfId="110"/>
    <tableColumn id="4" xr3:uid="{79BC0B48-52A9-4AE8-B035-4F477C1A8895}" name="No. Of Iterations Block Of Text - Run 5" dataDxfId="109"/>
    <tableColumn id="5" xr3:uid="{A0F5C38B-CD24-4D1D-87AA-3453B904A5AB}" name="No. Of Iterations Block Of Text - Run 6" dataDxfId="108"/>
    <tableColumn id="6" xr3:uid="{6D809B8E-FB3C-486F-9034-989AB3D7844E}" name="No. Of Iterations Block Of Text - Run 7" dataDxfId="107"/>
    <tableColumn id="7" xr3:uid="{E608B39D-5CE6-4BC4-8D29-FA8B1730C1E4}" name="No. Of Iterations Block Of Text - Run 8" dataDxfId="106"/>
    <tableColumn id="8" xr3:uid="{2D0BB809-7E9D-410C-B74E-ED6BC3197B21}" name="No. Of Iterations Block Of Text - Run 9" dataDxfId="105"/>
    <tableColumn id="11" xr3:uid="{AACBFA8D-8235-4AE4-96F7-FB0650F9E1F7}" name="No. Of Iterations Block Of Text - Run 10" dataDxfId="104"/>
  </tableColumns>
  <tableStyleInfo name="TableStyleLight16"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EB3E3A2-A3AB-4D2D-8639-D2694A44A34C}" name="Table14567891023411121329" displayName="Table14567891023411121329" ref="B22:L30" totalsRowShown="0" headerRowDxfId="103" dataDxfId="102">
  <autoFilter ref="B22:L30" xr:uid="{C8945BAE-CC7E-4850-AF39-E7C000E423AF}"/>
  <tableColumns count="11">
    <tableColumn id="1" xr3:uid="{22F6C8B4-42FB-4357-B91A-AF1123B99451}" name="No." dataDxfId="101"/>
    <tableColumn id="9" xr3:uid="{EA16EB64-73E8-43D0-AF90-6E9798A6D32D}" name="No. Of Iterations Block Of Text - Run 1" dataDxfId="100"/>
    <tableColumn id="10" xr3:uid="{0738F01B-0B7C-41AE-BE0A-E1A2D5F435CF}" name="No. Of Iterations Block Of Text - Run 2" dataDxfId="99"/>
    <tableColumn id="2" xr3:uid="{AE365C0A-3708-425D-B953-096069BF42C7}" name="No. Of Iterations Block Of Text - Run 3" dataDxfId="98"/>
    <tableColumn id="3" xr3:uid="{F379B502-8475-4804-B455-AC6CB3D73F62}" name="No. Of Iterations Block Of Text - Run 4" dataDxfId="97"/>
    <tableColumn id="4" xr3:uid="{3ACD5E4E-AF2E-4FA9-B3F9-0A66BC257443}" name="No. Of Iterations Block Of Text - Run 5" dataDxfId="96"/>
    <tableColumn id="5" xr3:uid="{226460B5-2EE3-44AE-8CF3-1BDAC9EC7775}" name="No. Of Iterations Block Of Text - Run 6" dataDxfId="95"/>
    <tableColumn id="6" xr3:uid="{20DB5667-A1AD-4C54-A9D7-4A45D3EFC2E4}" name="No. Of Iterations Block Of Text - Run 7" dataDxfId="94"/>
    <tableColumn id="7" xr3:uid="{D3622B9B-69FC-4DCC-A54D-8EDB2734A4B5}" name="No. Of Iterations Block Of Text - Run 8" dataDxfId="93"/>
    <tableColumn id="8" xr3:uid="{26B0C2AE-9154-47F3-92F2-CE89CF89101B}" name="No. Of Iterations Block Of Text - Run 9" dataDxfId="92"/>
    <tableColumn id="11" xr3:uid="{F018A89A-6D01-4798-8C30-A27CAF8DB801}" name="No. Of Iterations Block Of Text - Run 10" dataDxfId="91"/>
  </tableColumns>
  <tableStyleInfo name="TableStyleLight16"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4ED816D-F35E-43FF-B5BA-0CB30FA0DD2E}" name="Table14567891023411122830" displayName="Table14567891023411122830" ref="B2:L16" totalsRowShown="0" headerRowDxfId="90" dataDxfId="89">
  <autoFilter ref="B2:L16" xr:uid="{96A75E7F-C2EB-41A5-B26F-B261A01C9FA5}"/>
  <tableColumns count="11">
    <tableColumn id="1" xr3:uid="{EABBFB6C-2614-46BF-B8E9-EC4C91BBECC2}" name="No." dataDxfId="88"/>
    <tableColumn id="9" xr3:uid="{599C7EFB-9BF8-471A-8136-4BDFD7DAB868}" name="No. Of Iterations Block Of Text - Run 1" dataDxfId="87"/>
    <tableColumn id="10" xr3:uid="{2DC9A472-D858-42E6-9F98-2B9BCE9BAE2D}" name="No. Of Iterations Block Of Text - Run 2" dataDxfId="86"/>
    <tableColumn id="2" xr3:uid="{1FC88C13-EE7E-4836-AC75-C297D415A81D}" name="No. Of Iterations Block Of Text - Run 3" dataDxfId="85"/>
    <tableColumn id="3" xr3:uid="{74DEBA95-4F5B-4D7B-8644-DB9966E9EF5B}" name="No. Of Iterations Block Of Text - Run 4" dataDxfId="84"/>
    <tableColumn id="4" xr3:uid="{73F56CB8-FA56-4D93-81F3-B13AEC7A4745}" name="No. Of Iterations Block Of Text - Run 5" dataDxfId="83"/>
    <tableColumn id="5" xr3:uid="{BAAB232A-CEE6-4EE8-9518-23455843589A}" name="No. Of Iterations Block Of Text - Run 6" dataDxfId="82"/>
    <tableColumn id="6" xr3:uid="{F88605A6-42A2-4D99-9225-93F85944FEF4}" name="No. Of Iterations Block Of Text - Run 7" dataDxfId="81"/>
    <tableColumn id="7" xr3:uid="{FF58262A-49E1-4F96-88E0-68F7C7AEF203}" name="No. Of Iterations Block Of Text - Run 8" dataDxfId="80"/>
    <tableColumn id="8" xr3:uid="{F82B6062-E3EF-46A7-B5DC-FB3D5C70AD45}" name="No. Of Iterations Block Of Text - Run 9" dataDxfId="79"/>
    <tableColumn id="11" xr3:uid="{06CEC3A4-37A2-4E85-B2FC-1FD58F920D78}" name="No. Of Iterations Block Of Text - Run 10" dataDxfId="78"/>
  </tableColumns>
  <tableStyleInfo name="TableStyleLight16"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14D64E2-E5C4-47F9-912D-4F466FA2D5A1}" name="Table1456789102341112132931" displayName="Table1456789102341112132931" ref="B28:L42" totalsRowShown="0" headerRowDxfId="77" dataDxfId="76">
  <autoFilter ref="B28:L42" xr:uid="{C8945BAE-CC7E-4850-AF39-E7C000E423AF}"/>
  <tableColumns count="11">
    <tableColumn id="1" xr3:uid="{19BF65B9-FEF3-4D9D-A400-310A2F1FE8F9}" name="No." dataDxfId="75"/>
    <tableColumn id="9" xr3:uid="{0EE37045-7D8E-4B60-AE71-4701B1167AFF}" name="No. Of Iterations Block Of Text - Run 1" dataDxfId="74"/>
    <tableColumn id="10" xr3:uid="{54468B4C-CE27-48E7-837C-26E3937ECCE2}" name="No. Of Iterations Block Of Text - Run 2" dataDxfId="73"/>
    <tableColumn id="2" xr3:uid="{C58E8968-D06D-4A2F-8C4D-4CA40E4152B9}" name="No. Of Iterations Block Of Text - Run 3" dataDxfId="72"/>
    <tableColumn id="3" xr3:uid="{3A2C31D6-2F49-4694-82DE-6163F19B6791}" name="No. Of Iterations Block Of Text - Run 4" dataDxfId="71"/>
    <tableColumn id="4" xr3:uid="{D0CE0E62-157F-42F9-977B-1606405762B7}" name="No. Of Iterations Block Of Text - Run 5" dataDxfId="70"/>
    <tableColumn id="5" xr3:uid="{4BFE860A-2613-472C-B096-CDD33E5FC84E}" name="No. Of Iterations Block Of Text - Run 6" dataDxfId="69"/>
    <tableColumn id="6" xr3:uid="{9A40247A-C847-4409-B55C-A4B4234CB13E}" name="No. Of Iterations Block Of Text - Run 7" dataDxfId="68"/>
    <tableColumn id="7" xr3:uid="{AD172F7B-C2D2-4640-BB4E-450F1D7FF75B}" name="No. Of Iterations Block Of Text - Run 8" dataDxfId="67"/>
    <tableColumn id="8" xr3:uid="{2A551402-A004-41A2-8532-6FEA06AB0750}" name="No. Of Iterations Block Of Text - Run 9" dataDxfId="66"/>
    <tableColumn id="11" xr3:uid="{46B4FCB0-3214-4A2E-827A-55726EEDF8E5}" name="No. Of Iterations Block Of Text - Run 10" dataDxfId="65"/>
  </tableColumns>
  <tableStyleInfo name="TableStyleLight16"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A9BF4FC-3DFA-4954-81FC-D762003E4308}" name="Table1456789102341112283032" displayName="Table1456789102341112283032" ref="B2:L10" totalsRowShown="0" headerRowDxfId="64" dataDxfId="63">
  <autoFilter ref="B2:L10" xr:uid="{96A75E7F-C2EB-41A5-B26F-B261A01C9FA5}"/>
  <tableColumns count="11">
    <tableColumn id="1" xr3:uid="{820227D1-6BA3-4BC8-89CC-DD94D1A006B8}" name="No." dataDxfId="62"/>
    <tableColumn id="9" xr3:uid="{2E87E8D6-CCC5-4556-AF75-D8B18786FCC2}" name="No. Of Iterations Block Of Text - Run 1" dataDxfId="61"/>
    <tableColumn id="10" xr3:uid="{D4E33FFC-DA39-43D1-A34F-C950BEBA7C76}" name="No. Of Iterations Block Of Text - Run 2" dataDxfId="60"/>
    <tableColumn id="2" xr3:uid="{372DB772-0F45-4E0A-8D95-E9D322DEEA96}" name="No. Of Iterations Block Of Text - Run 3" dataDxfId="59"/>
    <tableColumn id="3" xr3:uid="{E26370ED-C837-4696-921A-45BBCE60A9F7}" name="No. Of Iterations Block Of Text - Run 4" dataDxfId="58"/>
    <tableColumn id="4" xr3:uid="{89F55768-F213-4E7B-88D6-18D51DD3C315}" name="No. Of Iterations Block Of Text - Run 5" dataDxfId="57"/>
    <tableColumn id="5" xr3:uid="{0B0E57B5-D09D-4587-9389-59AA6BCC7A4E}" name="No. Of Iterations Block Of Text - Run 6" dataDxfId="56"/>
    <tableColumn id="6" xr3:uid="{692FB8E0-9943-47F0-A293-5DEFEE4F799A}" name="No. Of Iterations Block Of Text - Run 7" dataDxfId="55"/>
    <tableColumn id="7" xr3:uid="{792B20BD-BD9B-443D-A91F-2922E7A0FBC7}" name="No. Of Iterations Block Of Text - Run 8" dataDxfId="54"/>
    <tableColumn id="8" xr3:uid="{CE7902ED-886E-47CC-8F68-5AD229C0D824}" name="No. Of Iterations Block Of Text - Run 9" dataDxfId="53"/>
    <tableColumn id="11" xr3:uid="{3D3E4B21-63AB-4637-98A8-CC0FA12E67C0}" name="No. Of Iterations Block Of Text - Run 10" dataDxfId="52"/>
  </tableColumns>
  <tableStyleInfo name="TableStyleLight16"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81527E5-5230-4C5D-BAA6-CBB9C7BC6616}" name="Table145678910234111213293133" displayName="Table145678910234111213293133" ref="B22:L30" totalsRowShown="0" headerRowDxfId="51" dataDxfId="50">
  <autoFilter ref="B22:L30" xr:uid="{C8945BAE-CC7E-4850-AF39-E7C000E423AF}"/>
  <tableColumns count="11">
    <tableColumn id="1" xr3:uid="{259CF5F0-2D0F-4D7D-87F6-7E4052BA2889}" name="No." dataDxfId="49"/>
    <tableColumn id="9" xr3:uid="{5D41CF8F-9461-434C-B036-73DB88FD918D}" name="No. Of Iterations Block Of Text - Run 1" dataDxfId="48"/>
    <tableColumn id="10" xr3:uid="{2B5F6D02-C0EB-481B-8BE2-46601C7F2D24}" name="No. Of Iterations Block Of Text - Run 2" dataDxfId="47"/>
    <tableColumn id="2" xr3:uid="{F40E1D14-6CAE-4395-907A-AEEFF9FBB6A9}" name="No. Of Iterations Block Of Text - Run 3" dataDxfId="46"/>
    <tableColumn id="3" xr3:uid="{4109E036-0171-4692-AC69-13091FC1BD10}" name="No. Of Iterations Block Of Text - Run 4" dataDxfId="45"/>
    <tableColumn id="4" xr3:uid="{F53F224B-130A-487A-92B1-332501E78DDB}" name="No. Of Iterations Block Of Text - Run 5" dataDxfId="44"/>
    <tableColumn id="5" xr3:uid="{976000E2-6C3C-4498-BB79-BD02953FEB63}" name="No. Of Iterations Block Of Text - Run 6" dataDxfId="43"/>
    <tableColumn id="6" xr3:uid="{A7B48E67-2F10-4C58-AF96-5C76D6DD773B}" name="No. Of Iterations Block Of Text - Run 7" dataDxfId="42"/>
    <tableColumn id="7" xr3:uid="{AB00C49C-97D5-4D28-8184-AB777099FD48}" name="No. Of Iterations Block Of Text - Run 8" dataDxfId="41"/>
    <tableColumn id="8" xr3:uid="{574DA545-715E-4203-90C8-FE8C46F8FAD2}" name="No. Of Iterations Block Of Text - Run 9" dataDxfId="40"/>
    <tableColumn id="11" xr3:uid="{D0416DD2-9C8A-4749-AD10-A81A57709307}" name="No. Of Iterations Block Of Text - Run 10" dataDxfId="39"/>
  </tableColumns>
  <tableStyleInfo name="TableStyleLight16"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342AFD0-CC04-4123-B80F-608B25EF8C47}" name="Table1456789102341112283034" displayName="Table1456789102341112283034" ref="B2:L16" totalsRowShown="0" headerRowDxfId="38" dataDxfId="37">
  <autoFilter ref="B2:L16" xr:uid="{96A75E7F-C2EB-41A5-B26F-B261A01C9FA5}"/>
  <tableColumns count="11">
    <tableColumn id="1" xr3:uid="{97595DC3-D5F9-4D66-ABF8-90901B87CDF4}" name="No." dataDxfId="36"/>
    <tableColumn id="9" xr3:uid="{49D98AA6-F4B1-4CEA-BC3C-09ED00997469}" name="No. Of Iterations Block Of Text - Run 1" dataDxfId="35"/>
    <tableColumn id="10" xr3:uid="{D95C4142-34B8-42B9-A7C6-5C27BCC27538}" name="No. Of Iterations Block Of Text - Run 2" dataDxfId="34"/>
    <tableColumn id="2" xr3:uid="{B1E6FD91-1843-4DC2-8B1C-734786108997}" name="No. Of Iterations Block Of Text - Run 3" dataDxfId="33"/>
    <tableColumn id="3" xr3:uid="{883D996C-980C-473B-8A68-88A8E18BB1CF}" name="No. Of Iterations Block Of Text - Run 4" dataDxfId="32"/>
    <tableColumn id="4" xr3:uid="{B5D94024-1BB2-45D3-A3EC-AE95FF49ED9A}" name="No. Of Iterations Block Of Text - Run 5" dataDxfId="31"/>
    <tableColumn id="5" xr3:uid="{EEFA2C7A-CAD8-43DC-922C-25EE6D09F278}" name="No. Of Iterations Block Of Text - Run 6" dataDxfId="30"/>
    <tableColumn id="6" xr3:uid="{16186FF0-B950-42DD-ACAA-02121702AE4D}" name="No. Of Iterations Block Of Text - Run 7" dataDxfId="29"/>
    <tableColumn id="7" xr3:uid="{E8158D49-349C-4F78-9376-1D967848D070}" name="No. Of Iterations Block Of Text - Run 8" dataDxfId="28"/>
    <tableColumn id="8" xr3:uid="{4F3C1C69-DEB7-4451-9BFE-F8AEB0D6F6C2}" name="No. Of Iterations Block Of Text - Run 9" dataDxfId="27"/>
    <tableColumn id="11" xr3:uid="{42C22E02-8922-4271-9E6E-18A490B01551}" name="No. Of Iterations Block Of Text - Run 10" dataDxfId="26"/>
  </tableColumns>
  <tableStyleInfo name="TableStyleLight16"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169CEEA-98E5-46C7-8D00-00E925A20566}" name="Table145678910234111213293135" displayName="Table145678910234111213293135" ref="B28:L42" totalsRowShown="0" headerRowDxfId="25" dataDxfId="24">
  <autoFilter ref="B28:L42" xr:uid="{C8945BAE-CC7E-4850-AF39-E7C000E423AF}"/>
  <tableColumns count="11">
    <tableColumn id="1" xr3:uid="{913F3C02-4221-420E-96FF-09ED62FE8767}" name="No." dataDxfId="23"/>
    <tableColumn id="9" xr3:uid="{2801C5A0-0A09-4DA7-AEFC-A4AD147114CD}" name="No. Of Iterations Block Of Text - Run 1" dataDxfId="22"/>
    <tableColumn id="10" xr3:uid="{F36A8726-D84B-4DFF-A920-491B9C4A0ABD}" name="No. Of Iterations Block Of Text - Run 2" dataDxfId="21"/>
    <tableColumn id="2" xr3:uid="{BD18F63B-F70F-4825-A2BB-6049FEEF6354}" name="No. Of Iterations Block Of Text - Run 3" dataDxfId="20"/>
    <tableColumn id="3" xr3:uid="{0826EEFB-0F19-4A3F-9785-F560C2BE9D76}" name="No. Of Iterations Block Of Text - Run 4" dataDxfId="19"/>
    <tableColumn id="4" xr3:uid="{33480AAC-65B7-414A-9897-6E9E37FFD712}" name="No. Of Iterations Block Of Text - Run 5" dataDxfId="18"/>
    <tableColumn id="5" xr3:uid="{F4507B22-31C0-4943-8B33-AC0A814DCE94}" name="No. Of Iterations Block Of Text - Run 6" dataDxfId="17"/>
    <tableColumn id="6" xr3:uid="{C3D1017D-5A4B-4889-8F5F-DA4C6C7C66C8}" name="No. Of Iterations Block Of Text - Run 7" dataDxfId="16"/>
    <tableColumn id="7" xr3:uid="{9C4096BF-9624-4C0E-B003-7DDC2DF0189D}" name="No. Of Iterations Block Of Text - Run 8" dataDxfId="15"/>
    <tableColumn id="8" xr3:uid="{ACF16B0D-7EE0-45D0-9A84-CBC5F312A1C4}" name="No. Of Iterations Block Of Text - Run 9" dataDxfId="14"/>
    <tableColumn id="11" xr3:uid="{251D98A2-BA28-4C7E-AF7B-2492A8EEF12A}" name="No. Of Iterations Block Of Text - Run 10" dataDxfId="13"/>
  </tableColumns>
  <tableStyleInfo name="TableStyleLight16"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62FD131-BB05-4F20-8313-3A9A1DB0B231}" name="Table1456789102341112242636" displayName="Table1456789102341112242636" ref="B2:F22" totalsRowShown="0" headerRowDxfId="12" dataDxfId="11">
  <autoFilter ref="B2:F22" xr:uid="{96A75E7F-C2EB-41A5-B26F-B261A01C9FA5}"/>
  <tableColumns count="5">
    <tableColumn id="1" xr3:uid="{187B4A9D-721A-489A-B8BE-1B12F1E2E126}" name="No." dataDxfId="10"/>
    <tableColumn id="9" xr3:uid="{FEB4FF35-EC2E-4A9C-8D47-2E990EBD9B67}" name="Smallest Range (Tightest Execution out of 10 runs) (%)" dataDxfId="9"/>
    <tableColumn id="10" xr3:uid="{1F834F24-7BC9-4A89-87A0-406F3A62D5D5}" name="Largest Range (Loosest Execution out of 10 runs) (%)" dataDxfId="8"/>
    <tableColumn id="2" xr3:uid="{9957D903-73BE-4D41-A1B6-DD2B5B312BE7}" name="Average Range Over 10 Runs (%)" dataDxfId="7"/>
    <tableColumn id="3" xr3:uid="{16EF0245-ACA2-458B-891B-7719A1F8DBFA}" name="Avg. No. Of Loop Iterations" dataDxfId="6"/>
  </tableColumns>
  <tableStyleInfo name="TableStyleLight16"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0CBB20D-79A9-41AD-8A61-BE8F839AA116}" name="Table14567822" displayName="Table14567822" ref="B2:E7" totalsRowShown="0" headerRowDxfId="5" dataDxfId="4">
  <autoFilter ref="B2:E7" xr:uid="{96A75E7F-C2EB-41A5-B26F-B261A01C9FA5}"/>
  <tableColumns count="4">
    <tableColumn id="1" xr3:uid="{20333012-A3CC-4BAF-9028-BE74A8E0BB7B}" name="No." dataDxfId="3"/>
    <tableColumn id="2" xr3:uid="{A8F9B0B4-6CFE-428F-9D8C-0C649A6474FC}" name="Time to run 1M calls of subroutine VIs (seconds)" dataDxfId="2"/>
    <tableColumn id="3" xr3:uid="{6C24F411-6A8B-4B3C-AC39-EE9EA3D4E083}" name="Time to run 1M calls of inline VIs (seconds)" dataDxfId="1"/>
    <tableColumn id="4" xr3:uid="{759F7442-6C56-4649-AA16-0890B236B189}" name="Time to run 1M calls of subroutine and inline VIs (seconds)"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3.xml"/><Relationship Id="rId1" Type="http://schemas.openxmlformats.org/officeDocument/2006/relationships/printerSettings" Target="../printerSettings/printerSettings11.bin"/><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2.bin"/><Relationship Id="rId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15.xml"/><Relationship Id="rId1" Type="http://schemas.openxmlformats.org/officeDocument/2006/relationships/printerSettings" Target="../printerSettings/printerSettings13.bin"/><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16.xml"/><Relationship Id="rId1" Type="http://schemas.openxmlformats.org/officeDocument/2006/relationships/printerSettings" Target="../printerSettings/printerSettings14.bin"/><Relationship Id="rId4"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17.xml"/><Relationship Id="rId1" Type="http://schemas.openxmlformats.org/officeDocument/2006/relationships/printerSettings" Target="../printerSettings/printerSettings15.bin"/><Relationship Id="rId4" Type="http://schemas.openxmlformats.org/officeDocument/2006/relationships/table" Target="../tables/table20.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18.xml"/><Relationship Id="rId1" Type="http://schemas.openxmlformats.org/officeDocument/2006/relationships/printerSettings" Target="../printerSettings/printerSettings16.bin"/><Relationship Id="rId4" Type="http://schemas.openxmlformats.org/officeDocument/2006/relationships/table" Target="../tables/table2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drawing" Target="../drawings/drawing19.xml"/><Relationship Id="rId1" Type="http://schemas.openxmlformats.org/officeDocument/2006/relationships/printerSettings" Target="../printerSettings/printerSettings17.bin"/><Relationship Id="rId4" Type="http://schemas.openxmlformats.org/officeDocument/2006/relationships/table" Target="../tables/table24.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drawing" Target="../drawings/drawing20.xml"/><Relationship Id="rId1" Type="http://schemas.openxmlformats.org/officeDocument/2006/relationships/printerSettings" Target="../printerSettings/printerSettings18.bin"/><Relationship Id="rId4" Type="http://schemas.openxmlformats.org/officeDocument/2006/relationships/table" Target="../tables/table26.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drawing" Target="../drawings/drawing21.xml"/><Relationship Id="rId1" Type="http://schemas.openxmlformats.org/officeDocument/2006/relationships/printerSettings" Target="../printerSettings/printerSettings19.bin"/><Relationship Id="rId4" Type="http://schemas.openxmlformats.org/officeDocument/2006/relationships/table" Target="../tables/table28.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drawing" Target="../drawings/drawing22.xml"/><Relationship Id="rId1" Type="http://schemas.openxmlformats.org/officeDocument/2006/relationships/printerSettings" Target="../printerSettings/printerSettings20.bin"/><Relationship Id="rId4" Type="http://schemas.openxmlformats.org/officeDocument/2006/relationships/table" Target="../tables/table30.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drawing" Target="../drawings/drawing23.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24.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75A7F-807C-4DA0-84C6-9F6122CABBDD}">
  <dimension ref="A1:R3"/>
  <sheetViews>
    <sheetView workbookViewId="0">
      <selection activeCell="B33" sqref="B33"/>
    </sheetView>
  </sheetViews>
  <sheetFormatPr defaultRowHeight="15" x14ac:dyDescent="0.25"/>
  <cols>
    <col min="1" max="1" width="35.7109375" style="9" customWidth="1"/>
    <col min="2" max="2" width="20.7109375" style="9" customWidth="1"/>
    <col min="3" max="16384" width="9.140625" style="9"/>
  </cols>
  <sheetData>
    <row r="1" spans="1:18" ht="26.25" x14ac:dyDescent="0.25">
      <c r="A1" s="108" t="s">
        <v>7</v>
      </c>
      <c r="B1" s="108"/>
      <c r="C1" s="108"/>
      <c r="D1" s="108"/>
      <c r="E1" s="108"/>
      <c r="F1" s="108"/>
      <c r="G1" s="108"/>
      <c r="H1" s="108"/>
      <c r="I1" s="108"/>
      <c r="J1" s="108"/>
      <c r="K1" s="108"/>
      <c r="L1" s="108"/>
      <c r="M1" s="108"/>
      <c r="N1" s="108"/>
      <c r="O1" s="108"/>
      <c r="P1" s="108"/>
      <c r="Q1" s="108"/>
      <c r="R1" s="108"/>
    </row>
    <row r="2" spans="1:18" x14ac:dyDescent="0.25">
      <c r="A2" s="9" t="s">
        <v>8</v>
      </c>
      <c r="B2" s="12" t="s">
        <v>9</v>
      </c>
    </row>
    <row r="3" spans="1:18" ht="30" x14ac:dyDescent="0.25">
      <c r="A3" s="10" t="s">
        <v>10</v>
      </c>
      <c r="B3" s="11">
        <v>3</v>
      </c>
    </row>
  </sheetData>
  <mergeCells count="1">
    <mergeCell ref="A1:R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68BF-AA25-4BCC-BC77-E835D7591632}">
  <dimension ref="A1:R46"/>
  <sheetViews>
    <sheetView workbookViewId="0">
      <selection activeCell="G26" sqref="G26"/>
    </sheetView>
  </sheetViews>
  <sheetFormatPr defaultRowHeight="15" x14ac:dyDescent="0.25"/>
  <cols>
    <col min="1" max="1" width="35.7109375" style="9" customWidth="1"/>
    <col min="2" max="2" width="40.7109375" style="9" customWidth="1"/>
    <col min="3" max="16384" width="9.140625" style="9"/>
  </cols>
  <sheetData>
    <row r="1" spans="1:18" ht="26.25" x14ac:dyDescent="0.25">
      <c r="A1" s="108" t="s">
        <v>41</v>
      </c>
      <c r="B1" s="108"/>
      <c r="C1" s="108"/>
      <c r="D1" s="108"/>
      <c r="E1" s="108"/>
      <c r="F1" s="108"/>
      <c r="G1" s="108"/>
      <c r="H1" s="108"/>
      <c r="I1" s="108"/>
      <c r="J1" s="108"/>
      <c r="K1" s="108"/>
      <c r="L1" s="108"/>
      <c r="M1" s="108"/>
      <c r="N1" s="108"/>
      <c r="O1" s="108"/>
      <c r="P1" s="108"/>
      <c r="Q1" s="108"/>
      <c r="R1" s="108"/>
    </row>
    <row r="2" spans="1:18" x14ac:dyDescent="0.25">
      <c r="A2" s="9" t="s">
        <v>42</v>
      </c>
      <c r="B2" s="12" t="s">
        <v>43</v>
      </c>
    </row>
    <row r="3" spans="1:18" x14ac:dyDescent="0.25">
      <c r="A3" s="10"/>
      <c r="B3" s="36"/>
    </row>
    <row r="24" spans="1:2" x14ac:dyDescent="0.25">
      <c r="A24" s="9" t="s">
        <v>44</v>
      </c>
      <c r="B24" s="12" t="s">
        <v>45</v>
      </c>
    </row>
    <row r="46" spans="1:2" x14ac:dyDescent="0.25">
      <c r="A46" s="9" t="s">
        <v>46</v>
      </c>
      <c r="B46" s="12" t="s">
        <v>47</v>
      </c>
    </row>
  </sheetData>
  <mergeCells count="1">
    <mergeCell ref="A1:R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3751B-FB5B-4EA1-B4D6-BF627E43362C}">
  <dimension ref="A1:K24"/>
  <sheetViews>
    <sheetView topLeftCell="A6" zoomScale="85" zoomScaleNormal="85" workbookViewId="0">
      <selection activeCell="N40" sqref="N40"/>
    </sheetView>
  </sheetViews>
  <sheetFormatPr defaultColWidth="8.85546875" defaultRowHeight="15" x14ac:dyDescent="0.25"/>
  <cols>
    <col min="1" max="1" width="50.7109375" style="1" customWidth="1"/>
    <col min="2" max="2" width="10.7109375" style="3" customWidth="1"/>
    <col min="3" max="4" width="20.7109375" style="3" customWidth="1"/>
    <col min="5" max="11" width="20.7109375" style="1" customWidth="1"/>
    <col min="12" max="16384" width="8.85546875" style="1"/>
  </cols>
  <sheetData>
    <row r="1" spans="2:11" ht="26.25" customHeight="1" x14ac:dyDescent="0.25">
      <c r="B1" s="108" t="s">
        <v>2</v>
      </c>
      <c r="C1" s="108"/>
      <c r="D1" s="108"/>
      <c r="E1" s="108"/>
      <c r="F1" s="108"/>
      <c r="G1" s="108"/>
      <c r="H1" s="108"/>
      <c r="I1" s="108"/>
      <c r="J1" s="108"/>
      <c r="K1" s="108"/>
    </row>
    <row r="2" spans="2:11" ht="60" x14ac:dyDescent="0.25">
      <c r="B2" s="2" t="s">
        <v>0</v>
      </c>
      <c r="C2" s="2" t="s">
        <v>14</v>
      </c>
      <c r="D2" s="2" t="s">
        <v>15</v>
      </c>
      <c r="E2" s="14" t="s">
        <v>16</v>
      </c>
      <c r="F2" s="2" t="s">
        <v>11</v>
      </c>
      <c r="G2" s="2" t="s">
        <v>12</v>
      </c>
      <c r="H2" s="14" t="s">
        <v>13</v>
      </c>
      <c r="I2" s="2" t="s">
        <v>17</v>
      </c>
      <c r="J2" s="2" t="s">
        <v>18</v>
      </c>
      <c r="K2" s="2" t="s">
        <v>19</v>
      </c>
    </row>
    <row r="3" spans="2:11" x14ac:dyDescent="0.25">
      <c r="B3" s="4">
        <v>1</v>
      </c>
      <c r="C3" s="5">
        <v>5.3629999999999997E-2</v>
      </c>
      <c r="D3" s="8">
        <v>5.2067000000000002E-2</v>
      </c>
      <c r="E3" s="15">
        <v>2.7966000000000001E-2</v>
      </c>
      <c r="F3" s="13">
        <v>0.120472</v>
      </c>
      <c r="G3" s="13">
        <v>0.10762099999999999</v>
      </c>
      <c r="H3" s="16">
        <v>0.11017299999999999</v>
      </c>
      <c r="I3" s="13">
        <v>0.78264199999999995</v>
      </c>
      <c r="J3" s="13">
        <v>0.81470299999999995</v>
      </c>
      <c r="K3" s="13">
        <v>0.76810500000000004</v>
      </c>
    </row>
    <row r="4" spans="2:11" x14ac:dyDescent="0.25">
      <c r="B4" s="4">
        <v>2</v>
      </c>
      <c r="C4" s="5">
        <v>9.0399999999999994E-2</v>
      </c>
      <c r="D4" s="8">
        <v>5.4482000000000003E-2</v>
      </c>
      <c r="E4" s="15">
        <v>2.0875000000000001E-2</v>
      </c>
      <c r="F4" s="13">
        <v>0.121826</v>
      </c>
      <c r="G4" s="13">
        <v>0.108747</v>
      </c>
      <c r="H4" s="16">
        <v>8.3336999999999994E-2</v>
      </c>
      <c r="I4" s="13">
        <v>0.81745500000000004</v>
      </c>
      <c r="J4" s="13">
        <v>0.78604799999999997</v>
      </c>
      <c r="K4" s="13">
        <v>0.75295000000000001</v>
      </c>
    </row>
    <row r="5" spans="2:11" x14ac:dyDescent="0.25">
      <c r="B5" s="4">
        <v>3</v>
      </c>
      <c r="C5" s="5">
        <v>5.8735999999999997E-2</v>
      </c>
      <c r="D5" s="8">
        <v>5.3865999999999997E-2</v>
      </c>
      <c r="E5" s="15">
        <v>3.2162000000000003E-2</v>
      </c>
      <c r="F5" s="13">
        <v>0.13439300000000001</v>
      </c>
      <c r="G5" s="13">
        <v>0.106808</v>
      </c>
      <c r="H5" s="16">
        <v>0.14602499999999999</v>
      </c>
      <c r="I5" s="13">
        <v>0.78504300000000005</v>
      </c>
      <c r="J5" s="13">
        <v>0.78794900000000001</v>
      </c>
      <c r="K5" s="13">
        <v>0.78163499999999997</v>
      </c>
    </row>
    <row r="6" spans="2:11" x14ac:dyDescent="0.25">
      <c r="B6" s="4">
        <v>4</v>
      </c>
      <c r="C6" s="5">
        <v>5.6035000000000001E-2</v>
      </c>
      <c r="D6" s="8">
        <v>5.4403E-2</v>
      </c>
      <c r="E6" s="15">
        <v>2.6950999999999999E-2</v>
      </c>
      <c r="F6" s="13">
        <v>0.13803199999999999</v>
      </c>
      <c r="G6" s="13">
        <v>0.108741</v>
      </c>
      <c r="H6" s="16">
        <v>8.6637000000000006E-2</v>
      </c>
      <c r="I6" s="13">
        <v>0.78383499999999995</v>
      </c>
      <c r="J6" s="13">
        <v>0.84537600000000002</v>
      </c>
      <c r="K6" s="13">
        <v>0.75053199999999998</v>
      </c>
    </row>
    <row r="7" spans="2:11" x14ac:dyDescent="0.25">
      <c r="B7" s="4">
        <v>5</v>
      </c>
      <c r="C7" s="5">
        <v>5.7156999999999999E-2</v>
      </c>
      <c r="D7" s="8">
        <v>5.3644999999999998E-2</v>
      </c>
      <c r="E7" s="15">
        <v>2.0275999999999999E-2</v>
      </c>
      <c r="F7" s="13">
        <v>0.137741</v>
      </c>
      <c r="G7" s="13">
        <v>0.108498</v>
      </c>
      <c r="H7" s="16">
        <v>9.0247999999999995E-2</v>
      </c>
      <c r="I7" s="13">
        <v>0.78307700000000002</v>
      </c>
      <c r="J7" s="13">
        <v>0.78506799999999999</v>
      </c>
      <c r="K7" s="13">
        <v>0.76032900000000003</v>
      </c>
    </row>
    <row r="8" spans="2:11" x14ac:dyDescent="0.25">
      <c r="B8" s="4">
        <v>6</v>
      </c>
      <c r="C8" s="5">
        <v>5.0847000000000003E-2</v>
      </c>
      <c r="D8" s="8">
        <v>5.2364000000000001E-2</v>
      </c>
      <c r="E8" s="15">
        <v>2.1818000000000001E-2</v>
      </c>
      <c r="F8" s="13">
        <v>0.12812899999999999</v>
      </c>
      <c r="G8" s="13">
        <v>0.12030299999999999</v>
      </c>
      <c r="H8" s="16">
        <v>0.134462</v>
      </c>
      <c r="I8" s="13">
        <v>0.83394100000000004</v>
      </c>
      <c r="J8" s="13">
        <v>0.78547400000000001</v>
      </c>
      <c r="K8" s="13">
        <v>0.75986799999999999</v>
      </c>
    </row>
    <row r="9" spans="2:11" x14ac:dyDescent="0.25">
      <c r="B9" s="4">
        <v>7</v>
      </c>
      <c r="C9" s="5">
        <v>5.3141000000000001E-2</v>
      </c>
      <c r="D9" s="8">
        <v>5.4303999999999998E-2</v>
      </c>
      <c r="E9" s="15">
        <v>2.3479E-2</v>
      </c>
      <c r="F9" s="13">
        <v>0.16838500000000001</v>
      </c>
      <c r="G9" s="13">
        <v>0.111778</v>
      </c>
      <c r="H9" s="16">
        <v>8.7429000000000007E-2</v>
      </c>
      <c r="I9" s="13">
        <v>0.79075799999999996</v>
      </c>
      <c r="J9" s="13">
        <v>0.79295800000000005</v>
      </c>
      <c r="K9" s="13">
        <v>0.79107400000000005</v>
      </c>
    </row>
    <row r="10" spans="2:11" x14ac:dyDescent="0.25">
      <c r="B10" s="4">
        <v>8</v>
      </c>
      <c r="C10" s="5">
        <v>5.5818E-2</v>
      </c>
      <c r="D10" s="8">
        <v>6.1379000000000003E-2</v>
      </c>
      <c r="E10" s="15">
        <v>2.7949999999999999E-2</v>
      </c>
      <c r="F10" s="13">
        <v>0.25283699999999998</v>
      </c>
      <c r="G10" s="13">
        <v>0.114591</v>
      </c>
      <c r="H10" s="16">
        <v>8.9299000000000003E-2</v>
      </c>
      <c r="I10" s="13">
        <v>0.78081400000000001</v>
      </c>
      <c r="J10" s="13">
        <v>0.786026</v>
      </c>
      <c r="K10" s="13">
        <v>0.75153999999999999</v>
      </c>
    </row>
    <row r="11" spans="2:11" x14ac:dyDescent="0.25">
      <c r="B11" s="4">
        <v>9</v>
      </c>
      <c r="C11" s="5">
        <v>5.3525000000000003E-2</v>
      </c>
      <c r="D11" s="8">
        <v>5.3747999999999997E-2</v>
      </c>
      <c r="E11" s="15">
        <v>2.4709999999999999E-2</v>
      </c>
      <c r="F11" s="13">
        <v>0.190444</v>
      </c>
      <c r="G11" s="13">
        <v>0.119326</v>
      </c>
      <c r="H11" s="16">
        <v>9.3814999999999996E-2</v>
      </c>
      <c r="I11" s="13">
        <v>0.78298800000000002</v>
      </c>
      <c r="J11" s="13">
        <v>0.79095300000000002</v>
      </c>
      <c r="K11" s="13">
        <v>0.76231899999999997</v>
      </c>
    </row>
    <row r="12" spans="2:11" x14ac:dyDescent="0.25">
      <c r="B12" s="4">
        <v>10</v>
      </c>
      <c r="C12" s="5">
        <v>5.7098000000000003E-2</v>
      </c>
      <c r="D12" s="8">
        <v>5.4015000000000001E-2</v>
      </c>
      <c r="E12" s="15">
        <v>2.436E-2</v>
      </c>
      <c r="F12" s="13">
        <v>0.12253600000000001</v>
      </c>
      <c r="G12" s="13">
        <v>0.11675199999999999</v>
      </c>
      <c r="H12" s="16">
        <v>8.4031999999999996E-2</v>
      </c>
      <c r="I12" s="13">
        <v>0.78736600000000001</v>
      </c>
      <c r="J12" s="13">
        <v>0.78708199999999995</v>
      </c>
      <c r="K12" s="13">
        <v>0.78492799999999996</v>
      </c>
    </row>
    <row r="13" spans="2:11" x14ac:dyDescent="0.25">
      <c r="B13" s="4">
        <v>11</v>
      </c>
      <c r="C13" s="5">
        <v>5.7044999999999998E-2</v>
      </c>
      <c r="D13" s="8">
        <v>7.3748999999999995E-2</v>
      </c>
      <c r="E13" s="15">
        <v>4.8533E-2</v>
      </c>
      <c r="F13" s="13">
        <v>0.118251</v>
      </c>
      <c r="G13" s="13">
        <v>0.107136</v>
      </c>
      <c r="H13" s="16">
        <v>8.0665000000000001E-2</v>
      </c>
      <c r="I13" s="13">
        <v>0.788686</v>
      </c>
      <c r="J13" s="13">
        <v>0.81403400000000004</v>
      </c>
      <c r="K13" s="13">
        <v>0.75520200000000004</v>
      </c>
    </row>
    <row r="14" spans="2:11" x14ac:dyDescent="0.25">
      <c r="B14" s="4">
        <v>12</v>
      </c>
      <c r="C14" s="5">
        <v>5.6578999999999997E-2</v>
      </c>
      <c r="D14" s="8">
        <v>5.3575999999999999E-2</v>
      </c>
      <c r="E14" s="15">
        <v>2.0372999999999999E-2</v>
      </c>
      <c r="F14" s="13">
        <v>0.13279299999999999</v>
      </c>
      <c r="G14" s="13">
        <v>0.109803</v>
      </c>
      <c r="H14" s="16">
        <v>9.3465000000000006E-2</v>
      </c>
      <c r="I14" s="13">
        <v>0.79278099999999996</v>
      </c>
      <c r="J14" s="13">
        <v>0.78700000000000003</v>
      </c>
      <c r="K14" s="13">
        <v>0.75329599999999997</v>
      </c>
    </row>
    <row r="15" spans="2:11" x14ac:dyDescent="0.25">
      <c r="B15" s="4">
        <v>13</v>
      </c>
      <c r="C15" s="5">
        <v>9.042E-2</v>
      </c>
      <c r="D15" s="8">
        <v>5.2638999999999998E-2</v>
      </c>
      <c r="E15" s="15">
        <v>2.2055999999999999E-2</v>
      </c>
      <c r="F15" s="13">
        <v>0.14072999999999999</v>
      </c>
      <c r="G15" s="13">
        <v>0.10970199999999999</v>
      </c>
      <c r="H15" s="16">
        <v>9.9728999999999998E-2</v>
      </c>
      <c r="I15" s="13">
        <v>0.78414399999999995</v>
      </c>
      <c r="J15" s="13">
        <v>0.79101399999999999</v>
      </c>
      <c r="K15" s="13">
        <v>0.77073700000000001</v>
      </c>
    </row>
    <row r="16" spans="2:11" x14ac:dyDescent="0.25">
      <c r="B16" s="4">
        <v>14</v>
      </c>
      <c r="C16" s="5">
        <v>5.3566999999999997E-2</v>
      </c>
      <c r="D16" s="8">
        <v>5.3913000000000003E-2</v>
      </c>
      <c r="E16" s="15">
        <v>2.4072E-2</v>
      </c>
      <c r="F16" s="13">
        <v>0.124816</v>
      </c>
      <c r="G16" s="13">
        <v>0.12709200000000001</v>
      </c>
      <c r="H16" s="16">
        <v>0.112996</v>
      </c>
      <c r="I16" s="13">
        <v>0.80217499999999997</v>
      </c>
      <c r="J16" s="13">
        <v>0.78669900000000004</v>
      </c>
      <c r="K16" s="13">
        <v>0.74991600000000003</v>
      </c>
    </row>
    <row r="17" spans="1:11" x14ac:dyDescent="0.25">
      <c r="B17" s="4">
        <v>15</v>
      </c>
      <c r="C17" s="5">
        <v>5.1221000000000003E-2</v>
      </c>
      <c r="D17" s="8">
        <v>5.3317000000000003E-2</v>
      </c>
      <c r="E17" s="15">
        <v>2.053E-2</v>
      </c>
      <c r="F17" s="13">
        <v>0.15300900000000001</v>
      </c>
      <c r="G17" s="13">
        <v>0.112756</v>
      </c>
      <c r="H17" s="16">
        <v>9.9595000000000003E-2</v>
      </c>
      <c r="I17" s="13">
        <v>0.78843200000000002</v>
      </c>
      <c r="J17" s="13">
        <v>0.81553100000000001</v>
      </c>
      <c r="K17" s="13">
        <v>0.78484500000000001</v>
      </c>
    </row>
    <row r="18" spans="1:11" ht="24" x14ac:dyDescent="0.4">
      <c r="A18" s="103" t="s">
        <v>3</v>
      </c>
      <c r="B18" s="103"/>
      <c r="C18" s="6">
        <f>AVERAGE(Table145[Time to run 1M calls of "Math SubVI - Simple (NR).vi" (seconds)])</f>
        <v>5.968126666666667E-2</v>
      </c>
      <c r="D18" s="6">
        <f>AVERAGE(Table145[Time to run 1M calls of "Math SubVI - Simple (SCR).vi" (seconds)])</f>
        <v>5.5431133333333334E-2</v>
      </c>
      <c r="E18" s="6">
        <f>AVERAGE(Table145[Time to run 1M calls of "Math SubVI - Simple (PCR).vi" (seconds)])</f>
        <v>2.5740733333333331E-2</v>
      </c>
      <c r="F18" s="6">
        <f>AVERAGE(Table145[Time to run 1M calls of "Math SubVI - Medium (NR).vi" (seconds)])</f>
        <v>0.14562626666666667</v>
      </c>
      <c r="G18" s="6">
        <f>AVERAGE(Table145[Time to run 1M calls of "Math SubVI - Medium (SCR).vi" (seconds)])</f>
        <v>0.1126436</v>
      </c>
      <c r="H18" s="6">
        <f>AVERAGE(Table145[Time to run 1M calls of "Math SubVI - Medium (PCR).vi" (seconds)])</f>
        <v>9.9460466666666664E-2</v>
      </c>
      <c r="I18" s="6">
        <f>AVERAGE(Table145[Time to run 1M calls of "Math SubVI - Complex (NR).vi" (seconds)])</f>
        <v>0.79227580000000009</v>
      </c>
      <c r="J18" s="6">
        <f>AVERAGE(Table145[Time to run 1M calls of "Math SubVI - Complex (SCR).vi" (seconds)])</f>
        <v>0.79706100000000002</v>
      </c>
      <c r="K18" s="6">
        <f>AVERAGE(Table145[Time to run 1M calls of "Math SubVI - Complex (PCR).vi" (seconds)])</f>
        <v>0.76515173333333342</v>
      </c>
    </row>
    <row r="19" spans="1:11" ht="24" x14ac:dyDescent="0.4">
      <c r="A19" s="103" t="s">
        <v>1</v>
      </c>
      <c r="B19" s="103"/>
      <c r="C19" s="6">
        <f>C18*1000000/1000000</f>
        <v>5.968126666666667E-2</v>
      </c>
      <c r="D19" s="6">
        <f>D18*1000000/1000000</f>
        <v>5.5431133333333334E-2</v>
      </c>
      <c r="E19" s="6">
        <f>E18*1000000/1000000</f>
        <v>2.5740733333333331E-2</v>
      </c>
      <c r="F19" s="6">
        <f t="shared" ref="F19:H19" si="0">F18*1000000/1000000</f>
        <v>0.14562626666666667</v>
      </c>
      <c r="G19" s="6">
        <f t="shared" si="0"/>
        <v>0.1126436</v>
      </c>
      <c r="H19" s="6">
        <f t="shared" si="0"/>
        <v>9.9460466666666664E-2</v>
      </c>
      <c r="I19" s="6">
        <f t="shared" ref="I19" si="1">I18*1000000/1000000</f>
        <v>0.79227580000000009</v>
      </c>
      <c r="J19" s="6">
        <f t="shared" ref="J19" si="2">J18*1000000/1000000</f>
        <v>0.79706100000000002</v>
      </c>
      <c r="K19" s="6">
        <f t="shared" ref="K19" si="3">K18*1000000/1000000</f>
        <v>0.76515173333333342</v>
      </c>
    </row>
    <row r="20" spans="1:11" ht="24" x14ac:dyDescent="0.4">
      <c r="A20" s="103" t="s">
        <v>5</v>
      </c>
      <c r="B20" s="103"/>
      <c r="C20" s="17" t="s">
        <v>20</v>
      </c>
      <c r="D20" s="32">
        <f>D19-C19</f>
        <v>-4.2501333333333363E-3</v>
      </c>
      <c r="E20" s="22">
        <f>E19-C19</f>
        <v>-3.3940533333333342E-2</v>
      </c>
      <c r="F20" s="17" t="s">
        <v>20</v>
      </c>
      <c r="G20" s="32">
        <f>G19-F19</f>
        <v>-3.2982666666666674E-2</v>
      </c>
      <c r="H20" s="22">
        <f>H19-F19</f>
        <v>-4.6165800000000007E-2</v>
      </c>
      <c r="I20" s="17" t="s">
        <v>20</v>
      </c>
      <c r="J20" s="21">
        <f>J19-I19</f>
        <v>4.785199999999934E-3</v>
      </c>
      <c r="K20" s="22">
        <f>K19-I19</f>
        <v>-2.7124066666666669E-2</v>
      </c>
    </row>
    <row r="21" spans="1:11" ht="24" x14ac:dyDescent="0.4">
      <c r="A21" s="103" t="s">
        <v>6</v>
      </c>
      <c r="B21" s="103"/>
      <c r="C21" s="17" t="s">
        <v>20</v>
      </c>
      <c r="D21" s="32">
        <f>D20*1000</f>
        <v>-4.250133333333336</v>
      </c>
      <c r="E21" s="22">
        <f>E20*1000</f>
        <v>-33.940533333333342</v>
      </c>
      <c r="F21" s="17" t="s">
        <v>20</v>
      </c>
      <c r="G21" s="32">
        <f>G20*1000</f>
        <v>-32.982666666666674</v>
      </c>
      <c r="H21" s="22">
        <f>H20*1000</f>
        <v>-46.165800000000004</v>
      </c>
      <c r="I21" s="17" t="s">
        <v>20</v>
      </c>
      <c r="J21" s="21">
        <f>J20*1000</f>
        <v>4.785199999999934</v>
      </c>
      <c r="K21" s="22">
        <f>K20*1000</f>
        <v>-27.124066666666668</v>
      </c>
    </row>
    <row r="22" spans="1:11" ht="24" x14ac:dyDescent="0.4">
      <c r="A22" s="102" t="s">
        <v>25</v>
      </c>
      <c r="B22" s="102"/>
      <c r="C22" s="7">
        <f>C19*1000*'Machine Details'!$B$3</f>
        <v>179.04380000000003</v>
      </c>
      <c r="D22" s="7">
        <f>D19*1000*'Machine Details'!$B$3</f>
        <v>166.29340000000002</v>
      </c>
      <c r="E22" s="7">
        <f>E19*1000*'Machine Details'!$B$3</f>
        <v>77.222199999999987</v>
      </c>
      <c r="F22" s="7">
        <f>F19*1000*'Machine Details'!$B$3</f>
        <v>436.87880000000007</v>
      </c>
      <c r="G22" s="7">
        <f>G19*1000*'Machine Details'!$B$3</f>
        <v>337.93079999999998</v>
      </c>
      <c r="H22" s="7">
        <f>H19*1000*'Machine Details'!$B$3</f>
        <v>298.38139999999999</v>
      </c>
      <c r="I22" s="7">
        <f>I19*1000*'Machine Details'!$B$3</f>
        <v>2376.8274000000001</v>
      </c>
      <c r="J22" s="7">
        <f>J19*1000*'Machine Details'!$B$3</f>
        <v>2391.183</v>
      </c>
      <c r="K22" s="7">
        <f>K19*1000*'Machine Details'!$B$3</f>
        <v>2295.4552000000003</v>
      </c>
    </row>
    <row r="23" spans="1:11" ht="46.5" customHeight="1" x14ac:dyDescent="0.25">
      <c r="A23" s="102" t="s">
        <v>26</v>
      </c>
      <c r="B23" s="102"/>
      <c r="C23" s="17" t="s">
        <v>20</v>
      </c>
      <c r="D23" s="33">
        <f>ROUND($C$22,0)-ROUND(D22,0)</f>
        <v>13</v>
      </c>
      <c r="E23" s="23">
        <f>ROUND($C$22,0)-ROUND(E22,0)</f>
        <v>102</v>
      </c>
      <c r="F23" s="17" t="s">
        <v>20</v>
      </c>
      <c r="G23" s="33">
        <f>ROUND($F$22,0)-ROUND(G22,0)</f>
        <v>99</v>
      </c>
      <c r="H23" s="23">
        <f>ROUND($F$22,0)-ROUND(H22,0)</f>
        <v>139</v>
      </c>
      <c r="I23" s="17" t="s">
        <v>20</v>
      </c>
      <c r="J23" s="19">
        <f>ROUND($I$22,0)-ROUND(J22,0)</f>
        <v>-14</v>
      </c>
      <c r="K23" s="23">
        <f>ROUND($I$22,0)-ROUND(K22,0)</f>
        <v>82</v>
      </c>
    </row>
    <row r="24" spans="1:11" ht="46.5" customHeight="1" x14ac:dyDescent="0.25">
      <c r="A24" s="102" t="s">
        <v>27</v>
      </c>
      <c r="B24" s="102"/>
      <c r="C24" s="17" t="s">
        <v>20</v>
      </c>
      <c r="D24" s="34">
        <f>D23/$C$22</f>
        <v>7.2607931690457858E-2</v>
      </c>
      <c r="E24" s="24">
        <f>E23/$C$22</f>
        <v>0.56969300249436161</v>
      </c>
      <c r="F24" s="17" t="s">
        <v>20</v>
      </c>
      <c r="G24" s="34">
        <f>G23/$F$22</f>
        <v>0.22660747099653264</v>
      </c>
      <c r="H24" s="24">
        <f>H23/$F$22</f>
        <v>0.31816604513654584</v>
      </c>
      <c r="I24" s="17" t="s">
        <v>20</v>
      </c>
      <c r="J24" s="20">
        <f>J23/$I$22</f>
        <v>-5.890204732577552E-3</v>
      </c>
      <c r="K24" s="24">
        <f>K23/$I$22</f>
        <v>3.4499770576525667E-2</v>
      </c>
    </row>
  </sheetData>
  <mergeCells count="8">
    <mergeCell ref="A23:B23"/>
    <mergeCell ref="A24:B24"/>
    <mergeCell ref="B1:K1"/>
    <mergeCell ref="A18:B18"/>
    <mergeCell ref="A19:B19"/>
    <mergeCell ref="A20:B20"/>
    <mergeCell ref="A21:B21"/>
    <mergeCell ref="A22:B22"/>
  </mergeCells>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34050-591E-4780-AD62-B5F8B3262CA0}">
  <dimension ref="A1:K24"/>
  <sheetViews>
    <sheetView topLeftCell="A2" zoomScale="85" zoomScaleNormal="85" workbookViewId="0">
      <selection activeCell="O31" sqref="O31"/>
    </sheetView>
  </sheetViews>
  <sheetFormatPr defaultColWidth="8.85546875" defaultRowHeight="15" x14ac:dyDescent="0.25"/>
  <cols>
    <col min="1" max="1" width="50.7109375" style="1" customWidth="1"/>
    <col min="2" max="2" width="10.7109375" style="3" customWidth="1"/>
    <col min="3" max="4" width="20.7109375" style="3" customWidth="1"/>
    <col min="5" max="11" width="20.7109375" style="1" customWidth="1"/>
    <col min="12" max="16384" width="8.85546875" style="1"/>
  </cols>
  <sheetData>
    <row r="1" spans="2:11" ht="26.25" customHeight="1" x14ac:dyDescent="0.25">
      <c r="B1" s="108" t="s">
        <v>4</v>
      </c>
      <c r="C1" s="108"/>
      <c r="D1" s="108"/>
      <c r="E1" s="108"/>
      <c r="F1" s="108"/>
      <c r="G1" s="108"/>
      <c r="H1" s="108"/>
      <c r="I1" s="108"/>
      <c r="J1" s="108"/>
      <c r="K1" s="108"/>
    </row>
    <row r="2" spans="2:11" ht="60" x14ac:dyDescent="0.25">
      <c r="B2" s="2" t="s">
        <v>0</v>
      </c>
      <c r="C2" s="2" t="s">
        <v>14</v>
      </c>
      <c r="D2" s="2" t="s">
        <v>15</v>
      </c>
      <c r="E2" s="14" t="s">
        <v>16</v>
      </c>
      <c r="F2" s="2" t="s">
        <v>11</v>
      </c>
      <c r="G2" s="2" t="s">
        <v>12</v>
      </c>
      <c r="H2" s="14" t="s">
        <v>13</v>
      </c>
      <c r="I2" s="2" t="s">
        <v>17</v>
      </c>
      <c r="J2" s="2" t="s">
        <v>18</v>
      </c>
      <c r="K2" s="2" t="s">
        <v>19</v>
      </c>
    </row>
    <row r="3" spans="2:11" x14ac:dyDescent="0.25">
      <c r="B3" s="4">
        <v>1</v>
      </c>
      <c r="C3" s="5">
        <v>6.1002000000000001E-2</v>
      </c>
      <c r="D3" s="8">
        <v>6.9387000000000004E-2</v>
      </c>
      <c r="E3" s="25">
        <v>2.9142999999999999E-2</v>
      </c>
      <c r="F3" s="13">
        <v>0.13824600000000001</v>
      </c>
      <c r="G3" s="13">
        <v>0.12776399999999999</v>
      </c>
      <c r="H3" s="16">
        <v>9.7701999999999997E-2</v>
      </c>
      <c r="I3" s="13">
        <v>0.78809300000000004</v>
      </c>
      <c r="J3" s="18">
        <v>0.80067699999999997</v>
      </c>
      <c r="K3" s="13">
        <v>0.765096</v>
      </c>
    </row>
    <row r="4" spans="2:11" x14ac:dyDescent="0.25">
      <c r="B4" s="4">
        <v>2</v>
      </c>
      <c r="C4" s="5">
        <v>6.6145999999999996E-2</v>
      </c>
      <c r="D4" s="8">
        <v>8.8252999999999998E-2</v>
      </c>
      <c r="E4" s="25">
        <v>3.0949999999999998E-2</v>
      </c>
      <c r="F4" s="13">
        <v>0.14175299999999999</v>
      </c>
      <c r="G4" s="13">
        <v>0.12701599999999999</v>
      </c>
      <c r="H4" s="16">
        <v>9.9672999999999998E-2</v>
      </c>
      <c r="I4" s="13">
        <v>0.81543299999999996</v>
      </c>
      <c r="J4" s="18">
        <v>0.82564099999999996</v>
      </c>
      <c r="K4" s="13">
        <v>0.76331599999999999</v>
      </c>
    </row>
    <row r="5" spans="2:11" x14ac:dyDescent="0.25">
      <c r="B5" s="4">
        <v>3</v>
      </c>
      <c r="C5" s="5">
        <v>6.2733999999999998E-2</v>
      </c>
      <c r="D5" s="8">
        <v>7.1448999999999999E-2</v>
      </c>
      <c r="E5" s="25">
        <v>3.2684999999999999E-2</v>
      </c>
      <c r="F5" s="13">
        <v>0.13428899999999999</v>
      </c>
      <c r="G5" s="13">
        <v>0.15987199999999999</v>
      </c>
      <c r="H5" s="16">
        <v>0.104267</v>
      </c>
      <c r="I5" s="13">
        <v>0.81521600000000005</v>
      </c>
      <c r="J5" s="18">
        <v>0.79716600000000004</v>
      </c>
      <c r="K5" s="13">
        <v>0.759996</v>
      </c>
    </row>
    <row r="6" spans="2:11" x14ac:dyDescent="0.25">
      <c r="B6" s="4">
        <v>4</v>
      </c>
      <c r="C6" s="5">
        <v>6.3042000000000001E-2</v>
      </c>
      <c r="D6" s="8">
        <v>7.1496000000000004E-2</v>
      </c>
      <c r="E6" s="25">
        <v>3.3625000000000002E-2</v>
      </c>
      <c r="F6" s="13">
        <v>0.12842899999999999</v>
      </c>
      <c r="G6" s="13">
        <v>0.128277</v>
      </c>
      <c r="H6" s="16">
        <v>9.8386000000000001E-2</v>
      </c>
      <c r="I6" s="13">
        <v>0.81553500000000001</v>
      </c>
      <c r="J6" s="18">
        <v>0.79982500000000001</v>
      </c>
      <c r="K6" s="13">
        <v>0.76257799999999998</v>
      </c>
    </row>
    <row r="7" spans="2:11" x14ac:dyDescent="0.25">
      <c r="B7" s="4">
        <v>5</v>
      </c>
      <c r="C7" s="5">
        <v>7.8125E-2</v>
      </c>
      <c r="D7" s="8">
        <v>7.0885000000000004E-2</v>
      </c>
      <c r="E7" s="25">
        <v>3.1021E-2</v>
      </c>
      <c r="F7" s="13">
        <v>0.158691</v>
      </c>
      <c r="G7" s="13">
        <v>0.13172600000000001</v>
      </c>
      <c r="H7" s="16">
        <v>0.102519</v>
      </c>
      <c r="I7" s="13">
        <v>0.79548399999999997</v>
      </c>
      <c r="J7" s="18">
        <v>0.80587799999999998</v>
      </c>
      <c r="K7" s="13">
        <v>0.76459600000000005</v>
      </c>
    </row>
    <row r="8" spans="2:11" x14ac:dyDescent="0.25">
      <c r="B8" s="4">
        <v>6</v>
      </c>
      <c r="C8" s="5">
        <v>0.107928</v>
      </c>
      <c r="D8" s="8">
        <v>7.0860999999999993E-2</v>
      </c>
      <c r="E8" s="25">
        <v>2.9322000000000001E-2</v>
      </c>
      <c r="F8" s="13">
        <v>0.13342100000000001</v>
      </c>
      <c r="G8" s="13">
        <v>0.12554199999999999</v>
      </c>
      <c r="H8" s="16">
        <v>9.7639000000000004E-2</v>
      </c>
      <c r="I8" s="13">
        <v>0.79753600000000002</v>
      </c>
      <c r="J8" s="18">
        <v>0.815079</v>
      </c>
      <c r="K8" s="13">
        <v>0.76199399999999995</v>
      </c>
    </row>
    <row r="9" spans="2:11" x14ac:dyDescent="0.25">
      <c r="B9" s="4">
        <v>7</v>
      </c>
      <c r="C9" s="5">
        <v>6.5849000000000005E-2</v>
      </c>
      <c r="D9" s="8">
        <v>6.7902000000000004E-2</v>
      </c>
      <c r="E9" s="25">
        <v>2.9758E-2</v>
      </c>
      <c r="F9" s="13">
        <v>0.13492299999999999</v>
      </c>
      <c r="G9" s="13">
        <v>0.125357</v>
      </c>
      <c r="H9" s="16">
        <v>9.9663000000000002E-2</v>
      </c>
      <c r="I9" s="13">
        <v>0.82158500000000001</v>
      </c>
      <c r="J9" s="18">
        <v>0.80290899999999998</v>
      </c>
      <c r="K9" s="13">
        <v>0.76719199999999999</v>
      </c>
    </row>
    <row r="10" spans="2:11" x14ac:dyDescent="0.25">
      <c r="B10" s="4">
        <v>8</v>
      </c>
      <c r="C10" s="5">
        <v>6.3150999999999999E-2</v>
      </c>
      <c r="D10" s="8">
        <v>6.6947000000000007E-2</v>
      </c>
      <c r="E10" s="25">
        <v>3.0334E-2</v>
      </c>
      <c r="F10" s="13">
        <v>0.133324</v>
      </c>
      <c r="G10" s="13">
        <v>0.13002900000000001</v>
      </c>
      <c r="H10" s="16">
        <v>9.7923999999999997E-2</v>
      </c>
      <c r="I10" s="13">
        <v>0.79500000000000004</v>
      </c>
      <c r="J10" s="18">
        <v>0.80548200000000003</v>
      </c>
      <c r="K10" s="13">
        <v>0.75928600000000002</v>
      </c>
    </row>
    <row r="11" spans="2:11" x14ac:dyDescent="0.25">
      <c r="B11" s="4">
        <v>9</v>
      </c>
      <c r="C11" s="5">
        <v>6.3019000000000006E-2</v>
      </c>
      <c r="D11" s="8">
        <v>0.109608</v>
      </c>
      <c r="E11" s="25">
        <v>3.9293000000000002E-2</v>
      </c>
      <c r="F11" s="13">
        <v>0.13175100000000001</v>
      </c>
      <c r="G11" s="13">
        <v>0.124663</v>
      </c>
      <c r="H11" s="16">
        <v>9.8560999999999996E-2</v>
      </c>
      <c r="I11" s="13">
        <v>0.79854000000000003</v>
      </c>
      <c r="J11" s="18">
        <v>0.80451600000000001</v>
      </c>
      <c r="K11" s="13">
        <v>0.76469299999999996</v>
      </c>
    </row>
    <row r="12" spans="2:11" x14ac:dyDescent="0.25">
      <c r="B12" s="4">
        <v>10</v>
      </c>
      <c r="C12" s="5">
        <v>6.2912999999999997E-2</v>
      </c>
      <c r="D12" s="8">
        <v>6.5313999999999997E-2</v>
      </c>
      <c r="E12" s="25">
        <v>3.1244999999999998E-2</v>
      </c>
      <c r="F12" s="13">
        <v>0.131721</v>
      </c>
      <c r="G12" s="13">
        <v>0.13877300000000001</v>
      </c>
      <c r="H12" s="16">
        <v>0.100548</v>
      </c>
      <c r="I12" s="13">
        <v>0.79740699999999998</v>
      </c>
      <c r="J12" s="18">
        <v>0.80838399999999999</v>
      </c>
      <c r="K12" s="13">
        <v>0.76233099999999998</v>
      </c>
    </row>
    <row r="13" spans="2:11" x14ac:dyDescent="0.25">
      <c r="B13" s="4">
        <v>11</v>
      </c>
      <c r="C13" s="5">
        <v>6.0970000000000003E-2</v>
      </c>
      <c r="D13" s="8">
        <v>7.0967000000000002E-2</v>
      </c>
      <c r="E13" s="25">
        <v>3.1983999999999999E-2</v>
      </c>
      <c r="F13" s="13">
        <v>0.152674</v>
      </c>
      <c r="G13" s="13">
        <v>0.13120799999999999</v>
      </c>
      <c r="H13" s="16">
        <v>9.8119999999999999E-2</v>
      </c>
      <c r="I13" s="13">
        <v>0.80166899999999996</v>
      </c>
      <c r="J13" s="18">
        <v>0.80178199999999999</v>
      </c>
      <c r="K13" s="13">
        <v>0.779358</v>
      </c>
    </row>
    <row r="14" spans="2:11" x14ac:dyDescent="0.25">
      <c r="B14" s="4">
        <v>12</v>
      </c>
      <c r="C14" s="5">
        <v>6.8007999999999999E-2</v>
      </c>
      <c r="D14" s="8">
        <v>7.1318999999999994E-2</v>
      </c>
      <c r="E14" s="25">
        <v>2.9950000000000001E-2</v>
      </c>
      <c r="F14" s="13">
        <v>0.15798899999999999</v>
      </c>
      <c r="G14" s="13">
        <v>0.124488</v>
      </c>
      <c r="H14" s="16">
        <v>9.5987000000000003E-2</v>
      </c>
      <c r="I14" s="13">
        <v>0.79332899999999995</v>
      </c>
      <c r="J14" s="18">
        <v>0.82805600000000001</v>
      </c>
      <c r="K14" s="13">
        <v>0.76708799999999999</v>
      </c>
    </row>
    <row r="15" spans="2:11" x14ac:dyDescent="0.25">
      <c r="B15" s="4">
        <v>13</v>
      </c>
      <c r="C15" s="5">
        <v>6.1206999999999998E-2</v>
      </c>
      <c r="D15" s="8">
        <v>6.4459000000000002E-2</v>
      </c>
      <c r="E15" s="25">
        <v>3.3083000000000001E-2</v>
      </c>
      <c r="F15" s="13">
        <v>0.16844899999999999</v>
      </c>
      <c r="G15" s="13">
        <v>0.12875400000000001</v>
      </c>
      <c r="H15" s="16">
        <v>9.6412999999999999E-2</v>
      </c>
      <c r="I15" s="13">
        <v>0.79628699999999997</v>
      </c>
      <c r="J15" s="18">
        <v>0.81412200000000001</v>
      </c>
      <c r="K15" s="13">
        <v>0.76086600000000004</v>
      </c>
    </row>
    <row r="16" spans="2:11" x14ac:dyDescent="0.25">
      <c r="B16" s="4">
        <v>14</v>
      </c>
      <c r="C16" s="5">
        <v>8.7656999999999999E-2</v>
      </c>
      <c r="D16" s="8">
        <v>6.7509E-2</v>
      </c>
      <c r="E16" s="25">
        <v>3.2815999999999998E-2</v>
      </c>
      <c r="F16" s="13">
        <v>0.203735</v>
      </c>
      <c r="G16" s="13">
        <v>0.12900800000000001</v>
      </c>
      <c r="H16" s="16">
        <v>9.6448999999999993E-2</v>
      </c>
      <c r="I16" s="13">
        <v>0.80253600000000003</v>
      </c>
      <c r="J16" s="18">
        <v>0.81125800000000003</v>
      </c>
      <c r="K16" s="13">
        <v>0.77781400000000001</v>
      </c>
    </row>
    <row r="17" spans="1:11" x14ac:dyDescent="0.25">
      <c r="B17" s="4">
        <v>15</v>
      </c>
      <c r="C17" s="5">
        <v>6.1259000000000001E-2</v>
      </c>
      <c r="D17" s="8">
        <v>6.9202E-2</v>
      </c>
      <c r="E17" s="25">
        <v>3.1108E-2</v>
      </c>
      <c r="F17" s="13">
        <v>0.14333799999999999</v>
      </c>
      <c r="G17" s="13">
        <v>0.12450799999999999</v>
      </c>
      <c r="H17" s="16">
        <v>0.100184</v>
      </c>
      <c r="I17" s="13">
        <v>0.81695399999999996</v>
      </c>
      <c r="J17" s="18">
        <v>0.80261899999999997</v>
      </c>
      <c r="K17" s="13">
        <v>0.76861999999999997</v>
      </c>
    </row>
    <row r="18" spans="1:11" ht="24" x14ac:dyDescent="0.4">
      <c r="A18" s="103" t="s">
        <v>3</v>
      </c>
      <c r="B18" s="103"/>
      <c r="C18" s="6">
        <f>AVERAGE(Table1456[Time to run 1M calls of "Math SubVI - Simple (NR).vi" (seconds)])</f>
        <v>6.8867333333333336E-2</v>
      </c>
      <c r="D18" s="6">
        <f>AVERAGE(Table1456[Time to run 1M calls of "Math SubVI - Simple (SCR).vi" (seconds)])</f>
        <v>7.3037199999999997E-2</v>
      </c>
      <c r="E18" s="26">
        <f>AVERAGE(Table1456[Time to run 1M calls of "Math SubVI - Simple (PCR).vi" (seconds)])</f>
        <v>3.1754466666666668E-2</v>
      </c>
      <c r="F18" s="6">
        <f>AVERAGE(Table1456[Time to run 1M calls of "Math SubVI - Medium (NR).vi" (seconds)])</f>
        <v>0.14618220000000001</v>
      </c>
      <c r="G18" s="6">
        <f>AVERAGE(Table1456[Time to run 1M calls of "Math SubVI - Medium (SCR).vi" (seconds)])</f>
        <v>0.13046566666666667</v>
      </c>
      <c r="H18" s="26">
        <f>AVERAGE(Table1456[Time to run 1M calls of "Math SubVI - Medium (PCR).vi" (seconds)])</f>
        <v>9.8935666666666686E-2</v>
      </c>
      <c r="I18" s="6">
        <f>AVERAGE(Table1456[Time to run 1M calls of "Math SubVI - Complex (NR).vi" (seconds)])</f>
        <v>0.80337360000000002</v>
      </c>
      <c r="J18" s="6">
        <f>AVERAGE(Table1456[Time to run 1M calls of "Math SubVI - Complex (SCR).vi" (seconds)])</f>
        <v>0.80822626666666664</v>
      </c>
      <c r="K18" s="6">
        <f>AVERAGE(Table1456[Time to run 1M calls of "Math SubVI - Complex (PCR).vi" (seconds)])</f>
        <v>0.76565493333333323</v>
      </c>
    </row>
    <row r="19" spans="1:11" ht="24" x14ac:dyDescent="0.4">
      <c r="A19" s="103" t="s">
        <v>1</v>
      </c>
      <c r="B19" s="103"/>
      <c r="C19" s="6">
        <f>C18*1000000/1000000</f>
        <v>6.886733333333335E-2</v>
      </c>
      <c r="D19" s="6">
        <f>D18*1000000/1000000</f>
        <v>7.3037199999999997E-2</v>
      </c>
      <c r="E19" s="26">
        <f>E18*1000000/1000000</f>
        <v>3.1754466666666668E-2</v>
      </c>
      <c r="F19" s="6">
        <f t="shared" ref="F19:K19" si="0">F18*1000000/1000000</f>
        <v>0.14618220000000001</v>
      </c>
      <c r="G19" s="6">
        <f t="shared" si="0"/>
        <v>0.13046566666666667</v>
      </c>
      <c r="H19" s="26">
        <f t="shared" si="0"/>
        <v>9.8935666666666686E-2</v>
      </c>
      <c r="I19" s="6">
        <f t="shared" si="0"/>
        <v>0.80337360000000002</v>
      </c>
      <c r="J19" s="6">
        <f t="shared" si="0"/>
        <v>0.80822626666666664</v>
      </c>
      <c r="K19" s="6">
        <f t="shared" si="0"/>
        <v>0.76565493333333323</v>
      </c>
    </row>
    <row r="20" spans="1:11" ht="24" x14ac:dyDescent="0.4">
      <c r="A20" s="103" t="s">
        <v>5</v>
      </c>
      <c r="B20" s="103"/>
      <c r="C20" s="17" t="s">
        <v>20</v>
      </c>
      <c r="D20" s="21">
        <f>D19-C19</f>
        <v>4.1698666666666467E-3</v>
      </c>
      <c r="E20" s="27">
        <f>E19-C19</f>
        <v>-3.7112866666666681E-2</v>
      </c>
      <c r="F20" s="17" t="s">
        <v>20</v>
      </c>
      <c r="G20" s="32">
        <f>G19-F19</f>
        <v>-1.5716533333333338E-2</v>
      </c>
      <c r="H20" s="27">
        <f>H19-F19</f>
        <v>-4.7246533333333326E-2</v>
      </c>
      <c r="I20" s="17" t="s">
        <v>20</v>
      </c>
      <c r="J20" s="21">
        <f>J19-I19</f>
        <v>4.8526666666666163E-3</v>
      </c>
      <c r="K20" s="22">
        <f>K19-I19</f>
        <v>-3.7718666666666789E-2</v>
      </c>
    </row>
    <row r="21" spans="1:11" ht="24" x14ac:dyDescent="0.4">
      <c r="A21" s="103" t="s">
        <v>6</v>
      </c>
      <c r="B21" s="103"/>
      <c r="C21" s="17" t="s">
        <v>20</v>
      </c>
      <c r="D21" s="21">
        <f>D20*1000</f>
        <v>4.1698666666666471</v>
      </c>
      <c r="E21" s="27">
        <f>E20*1000</f>
        <v>-37.112866666666683</v>
      </c>
      <c r="F21" s="17" t="s">
        <v>20</v>
      </c>
      <c r="G21" s="32">
        <f>G20*1000</f>
        <v>-15.716533333333338</v>
      </c>
      <c r="H21" s="27">
        <f>H20*1000</f>
        <v>-47.246533333333325</v>
      </c>
      <c r="I21" s="17" t="s">
        <v>20</v>
      </c>
      <c r="J21" s="21">
        <f>J20*1000</f>
        <v>4.8526666666666163</v>
      </c>
      <c r="K21" s="22">
        <f>K20*1000</f>
        <v>-37.718666666666792</v>
      </c>
    </row>
    <row r="22" spans="1:11" ht="24" x14ac:dyDescent="0.4">
      <c r="A22" s="102" t="s">
        <v>25</v>
      </c>
      <c r="B22" s="102"/>
      <c r="C22" s="7">
        <f>C19*1000*'Machine Details'!$B$3</f>
        <v>206.60200000000003</v>
      </c>
      <c r="D22" s="7">
        <f>D19*1000*'Machine Details'!$B$3</f>
        <v>219.11160000000001</v>
      </c>
      <c r="E22" s="28">
        <f>E19*1000*'Machine Details'!$B$3</f>
        <v>95.263400000000004</v>
      </c>
      <c r="F22" s="7">
        <f>F19*1000*'Machine Details'!$B$3</f>
        <v>438.54660000000007</v>
      </c>
      <c r="G22" s="7">
        <f>G19*1000*'Machine Details'!$B$3</f>
        <v>391.39699999999999</v>
      </c>
      <c r="H22" s="28">
        <f>H19*1000*'Machine Details'!$B$3</f>
        <v>296.80700000000007</v>
      </c>
      <c r="I22" s="7">
        <f>I19*1000*'Machine Details'!$B$3</f>
        <v>2410.1208000000001</v>
      </c>
      <c r="J22" s="7">
        <f>J19*1000*'Machine Details'!$B$3</f>
        <v>2424.6788000000001</v>
      </c>
      <c r="K22" s="7">
        <f>K19*1000*'Machine Details'!$B$3</f>
        <v>2296.9647999999997</v>
      </c>
    </row>
    <row r="23" spans="1:11" ht="46.5" customHeight="1" x14ac:dyDescent="0.25">
      <c r="A23" s="102" t="s">
        <v>26</v>
      </c>
      <c r="B23" s="102"/>
      <c r="C23" s="17" t="s">
        <v>20</v>
      </c>
      <c r="D23" s="19">
        <f>ROUND($C$22,0)-ROUND(D22,0)</f>
        <v>-12</v>
      </c>
      <c r="E23" s="29">
        <f>ROUND($C$22,0)-ROUND(E22,0)</f>
        <v>112</v>
      </c>
      <c r="F23" s="17" t="s">
        <v>20</v>
      </c>
      <c r="G23" s="33">
        <f>ROUND($F$22,0)-ROUND(G22,0)</f>
        <v>48</v>
      </c>
      <c r="H23" s="29">
        <f>ROUND($F$22,0)-ROUND(H22,0)</f>
        <v>142</v>
      </c>
      <c r="I23" s="17" t="s">
        <v>20</v>
      </c>
      <c r="J23" s="19">
        <f>ROUND($I$22,0)-ROUND(J22,0)</f>
        <v>-15</v>
      </c>
      <c r="K23" s="23">
        <f>ROUND($I$22,0)-ROUND(K22,0)</f>
        <v>113</v>
      </c>
    </row>
    <row r="24" spans="1:11" ht="46.5" customHeight="1" x14ac:dyDescent="0.25">
      <c r="A24" s="102" t="s">
        <v>27</v>
      </c>
      <c r="B24" s="102"/>
      <c r="C24" s="17" t="s">
        <v>20</v>
      </c>
      <c r="D24" s="20">
        <f>D23/$C$22</f>
        <v>-5.8082690390218863E-2</v>
      </c>
      <c r="E24" s="30">
        <f>E23/$C$22</f>
        <v>0.54210511030870945</v>
      </c>
      <c r="F24" s="17" t="s">
        <v>20</v>
      </c>
      <c r="G24" s="34">
        <f>G23/$F$22</f>
        <v>0.10945245043514189</v>
      </c>
      <c r="H24" s="30">
        <f>H23/$F$22</f>
        <v>0.32379683253729474</v>
      </c>
      <c r="I24" s="17" t="s">
        <v>20</v>
      </c>
      <c r="J24" s="20">
        <f>J23/$I$22</f>
        <v>-6.2237544275788991E-3</v>
      </c>
      <c r="K24" s="24">
        <f>K23/$I$22</f>
        <v>4.6885616687761041E-2</v>
      </c>
    </row>
  </sheetData>
  <mergeCells count="8">
    <mergeCell ref="A23:B23"/>
    <mergeCell ref="A24:B24"/>
    <mergeCell ref="B1:K1"/>
    <mergeCell ref="A18:B18"/>
    <mergeCell ref="A19:B19"/>
    <mergeCell ref="A20:B20"/>
    <mergeCell ref="A21:B21"/>
    <mergeCell ref="A22:B22"/>
  </mergeCells>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48FF4-5D4A-47E7-BFF9-073C0EF9887F}">
  <dimension ref="A1:P24"/>
  <sheetViews>
    <sheetView topLeftCell="A9" zoomScaleNormal="100" workbookViewId="0">
      <selection activeCell="G30" sqref="G30"/>
    </sheetView>
  </sheetViews>
  <sheetFormatPr defaultColWidth="8.85546875" defaultRowHeight="15" x14ac:dyDescent="0.25"/>
  <cols>
    <col min="1" max="1" width="60.7109375" style="1" customWidth="1"/>
    <col min="2" max="2" width="10.7109375" style="3" customWidth="1"/>
    <col min="3" max="4" width="20.7109375" style="3" customWidth="1"/>
    <col min="5" max="8" width="20.7109375" style="1" customWidth="1"/>
    <col min="9" max="16384" width="8.85546875" style="1"/>
  </cols>
  <sheetData>
    <row r="1" spans="2:5" ht="26.25" customHeight="1" x14ac:dyDescent="0.25">
      <c r="B1" s="108" t="s">
        <v>21</v>
      </c>
      <c r="C1" s="108"/>
      <c r="D1" s="108"/>
      <c r="E1" s="108"/>
    </row>
    <row r="2" spans="2:5" ht="60" x14ac:dyDescent="0.25">
      <c r="B2" s="2" t="s">
        <v>0</v>
      </c>
      <c r="C2" s="2" t="s">
        <v>22</v>
      </c>
      <c r="D2" s="2" t="s">
        <v>23</v>
      </c>
      <c r="E2" s="2" t="s">
        <v>24</v>
      </c>
    </row>
    <row r="3" spans="2:5" x14ac:dyDescent="0.25">
      <c r="B3" s="4">
        <v>1</v>
      </c>
      <c r="C3" s="5">
        <v>0.165297</v>
      </c>
      <c r="D3" s="8">
        <v>0.168068</v>
      </c>
      <c r="E3" s="8">
        <v>0.106174</v>
      </c>
    </row>
    <row r="4" spans="2:5" x14ac:dyDescent="0.25">
      <c r="B4" s="4">
        <v>2</v>
      </c>
      <c r="C4" s="5">
        <v>0.16403599999999999</v>
      </c>
      <c r="D4" s="8">
        <v>0.16755600000000001</v>
      </c>
      <c r="E4" s="8">
        <v>0.1008</v>
      </c>
    </row>
    <row r="5" spans="2:5" x14ac:dyDescent="0.25">
      <c r="B5" s="4">
        <v>3</v>
      </c>
      <c r="C5" s="5">
        <v>0.16541400000000001</v>
      </c>
      <c r="D5" s="8">
        <v>0.170594</v>
      </c>
      <c r="E5" s="8">
        <v>0.121519</v>
      </c>
    </row>
    <row r="6" spans="2:5" x14ac:dyDescent="0.25">
      <c r="B6" s="4">
        <v>4</v>
      </c>
      <c r="C6" s="5">
        <v>0.16257199999999999</v>
      </c>
      <c r="D6" s="8">
        <v>0.158585</v>
      </c>
      <c r="E6" s="8">
        <v>0.104128</v>
      </c>
    </row>
    <row r="7" spans="2:5" x14ac:dyDescent="0.25">
      <c r="B7" s="4">
        <v>5</v>
      </c>
      <c r="C7" s="5">
        <v>0.16888400000000001</v>
      </c>
      <c r="D7" s="8">
        <v>0.17050499999999999</v>
      </c>
      <c r="E7" s="8">
        <v>0.11224199999999999</v>
      </c>
    </row>
    <row r="8" spans="2:5" x14ac:dyDescent="0.25">
      <c r="B8" s="4">
        <v>6</v>
      </c>
      <c r="C8" s="5">
        <v>0.16855100000000001</v>
      </c>
      <c r="D8" s="8">
        <v>0.16394400000000001</v>
      </c>
      <c r="E8" s="8">
        <v>0.115022</v>
      </c>
    </row>
    <row r="9" spans="2:5" x14ac:dyDescent="0.25">
      <c r="B9" s="4">
        <v>7</v>
      </c>
      <c r="C9" s="5">
        <v>0.16298299999999999</v>
      </c>
      <c r="D9" s="8">
        <v>0.16539000000000001</v>
      </c>
      <c r="E9" s="8">
        <v>0.10478700000000001</v>
      </c>
    </row>
    <row r="10" spans="2:5" x14ac:dyDescent="0.25">
      <c r="B10" s="4">
        <v>8</v>
      </c>
      <c r="C10" s="5">
        <v>0.161833</v>
      </c>
      <c r="D10" s="8">
        <v>0.16725300000000001</v>
      </c>
      <c r="E10" s="8">
        <v>0.105076</v>
      </c>
    </row>
    <row r="11" spans="2:5" x14ac:dyDescent="0.25">
      <c r="B11" s="4">
        <v>9</v>
      </c>
      <c r="C11" s="5">
        <v>0.16267799999999999</v>
      </c>
      <c r="D11" s="8">
        <v>0.16338</v>
      </c>
      <c r="E11" s="8">
        <v>0.110259</v>
      </c>
    </row>
    <row r="12" spans="2:5" x14ac:dyDescent="0.25">
      <c r="B12" s="4">
        <v>10</v>
      </c>
      <c r="C12" s="5">
        <v>0.16748199999999999</v>
      </c>
      <c r="D12" s="8">
        <v>0.15972</v>
      </c>
      <c r="E12" s="8">
        <v>0.132519</v>
      </c>
    </row>
    <row r="13" spans="2:5" x14ac:dyDescent="0.25">
      <c r="B13" s="4">
        <v>11</v>
      </c>
      <c r="C13" s="5">
        <v>0.165517</v>
      </c>
      <c r="D13" s="8">
        <v>0.170462</v>
      </c>
      <c r="E13" s="8">
        <v>0.109622</v>
      </c>
    </row>
    <row r="14" spans="2:5" x14ac:dyDescent="0.25">
      <c r="B14" s="4">
        <v>12</v>
      </c>
      <c r="C14" s="5">
        <v>0.16448199999999999</v>
      </c>
      <c r="D14" s="8">
        <v>0.16144600000000001</v>
      </c>
      <c r="E14" s="8">
        <v>0.11252</v>
      </c>
    </row>
    <row r="15" spans="2:5" x14ac:dyDescent="0.25">
      <c r="B15" s="4">
        <v>13</v>
      </c>
      <c r="C15" s="5">
        <v>0.162022</v>
      </c>
      <c r="D15" s="8">
        <v>0.16156200000000001</v>
      </c>
      <c r="E15" s="8">
        <v>0.11677999999999999</v>
      </c>
    </row>
    <row r="16" spans="2:5" x14ac:dyDescent="0.25">
      <c r="B16" s="4">
        <v>14</v>
      </c>
      <c r="C16" s="5">
        <v>0.199045</v>
      </c>
      <c r="D16" s="8">
        <v>0.16292599999999999</v>
      </c>
      <c r="E16" s="8">
        <v>0.14344499999999999</v>
      </c>
    </row>
    <row r="17" spans="1:16" x14ac:dyDescent="0.25">
      <c r="B17" s="4">
        <v>15</v>
      </c>
      <c r="C17" s="5">
        <v>0.16253200000000001</v>
      </c>
      <c r="D17" s="8">
        <v>0.16677400000000001</v>
      </c>
      <c r="E17" s="8">
        <v>0.102698</v>
      </c>
    </row>
    <row r="18" spans="1:16" ht="24" x14ac:dyDescent="0.4">
      <c r="A18" s="103" t="s">
        <v>32</v>
      </c>
      <c r="B18" s="103"/>
      <c r="C18" s="6">
        <f>AVERAGE(Table14567[Time to run 1M calls of NR VIs (chain of Simple and Medium) (seconds)])</f>
        <v>0.16688853333333334</v>
      </c>
      <c r="D18" s="6">
        <f>AVERAGE(Table14567[Time to run 1M calls of SCR VIs (chain of Simple and Medium) (seconds)])</f>
        <v>0.16521100000000005</v>
      </c>
      <c r="E18" s="6">
        <f>AVERAGE(Table14567[Time to run 1M calls of PCR VIs (chain of Simple and Medium) (seconds)])</f>
        <v>0.1131727333333333</v>
      </c>
    </row>
    <row r="19" spans="1:16" ht="24" x14ac:dyDescent="0.4">
      <c r="A19" s="103" t="s">
        <v>33</v>
      </c>
      <c r="B19" s="103"/>
      <c r="C19" s="6">
        <f>C18*1000000/1000000</f>
        <v>0.16688853333333334</v>
      </c>
      <c r="D19" s="6">
        <f>D18*1000000/1000000</f>
        <v>0.16521100000000005</v>
      </c>
      <c r="E19" s="6">
        <f>E18*1000000/1000000</f>
        <v>0.1131727333333333</v>
      </c>
    </row>
    <row r="20" spans="1:16" ht="24" x14ac:dyDescent="0.4">
      <c r="A20" s="103" t="s">
        <v>34</v>
      </c>
      <c r="B20" s="103"/>
      <c r="C20" s="17" t="s">
        <v>20</v>
      </c>
      <c r="D20" s="32">
        <f>D19-C19</f>
        <v>-1.6775333333332865E-3</v>
      </c>
      <c r="E20" s="22">
        <f>E19-C19</f>
        <v>-5.3715800000000036E-2</v>
      </c>
      <c r="F20" s="109" t="s">
        <v>28</v>
      </c>
      <c r="G20" s="109"/>
      <c r="H20" s="109"/>
      <c r="I20" s="109"/>
      <c r="J20" s="109"/>
      <c r="K20" s="109"/>
      <c r="L20" s="109"/>
      <c r="M20" s="109"/>
      <c r="N20" s="109"/>
      <c r="O20" s="109"/>
      <c r="P20" s="109"/>
    </row>
    <row r="21" spans="1:16" ht="26.25" customHeight="1" x14ac:dyDescent="0.4">
      <c r="A21" s="103" t="s">
        <v>35</v>
      </c>
      <c r="B21" s="103"/>
      <c r="C21" s="17" t="s">
        <v>20</v>
      </c>
      <c r="D21" s="32">
        <f>D20*1000</f>
        <v>-1.6775333333332865</v>
      </c>
      <c r="E21" s="22">
        <f>E20*1000</f>
        <v>-53.715800000000037</v>
      </c>
      <c r="F21" s="109"/>
      <c r="G21" s="109"/>
      <c r="H21" s="109"/>
      <c r="I21" s="109"/>
      <c r="J21" s="109"/>
      <c r="K21" s="109"/>
      <c r="L21" s="109"/>
      <c r="M21" s="109"/>
      <c r="N21" s="109"/>
      <c r="O21" s="109"/>
      <c r="P21" s="109"/>
    </row>
    <row r="22" spans="1:16" ht="24" x14ac:dyDescent="0.4">
      <c r="A22" s="102" t="s">
        <v>29</v>
      </c>
      <c r="B22" s="102"/>
      <c r="C22" s="7">
        <f>C19*1000*'Machine Details'!$B$3</f>
        <v>500.66559999999998</v>
      </c>
      <c r="D22" s="7">
        <f>D19*1000*'Machine Details'!$B$3</f>
        <v>495.63300000000015</v>
      </c>
      <c r="E22" s="7">
        <f>E19*1000*'Machine Details'!$B$3</f>
        <v>339.51819999999987</v>
      </c>
      <c r="F22" s="35">
        <v>646</v>
      </c>
      <c r="G22" s="35">
        <v>610</v>
      </c>
      <c r="H22" s="35">
        <v>392</v>
      </c>
    </row>
    <row r="23" spans="1:16" ht="46.5" x14ac:dyDescent="0.4">
      <c r="A23" s="102" t="s">
        <v>30</v>
      </c>
      <c r="B23" s="102"/>
      <c r="C23" s="17" t="s">
        <v>20</v>
      </c>
      <c r="D23" s="33">
        <f>ROUND($C$22,0)-ROUND(D22,0)</f>
        <v>5</v>
      </c>
      <c r="E23" s="23">
        <f>ROUND($C$22,0)-ROUND(E22,0)</f>
        <v>161</v>
      </c>
      <c r="F23" s="17" t="s">
        <v>20</v>
      </c>
      <c r="G23" s="35">
        <v>36</v>
      </c>
      <c r="H23" s="35">
        <v>254</v>
      </c>
    </row>
    <row r="24" spans="1:16" ht="46.5" x14ac:dyDescent="0.25">
      <c r="A24" s="102" t="s">
        <v>31</v>
      </c>
      <c r="B24" s="102"/>
      <c r="C24" s="17" t="s">
        <v>20</v>
      </c>
      <c r="D24" s="34">
        <f>D23/$C$22</f>
        <v>9.986705697375654E-3</v>
      </c>
      <c r="E24" s="31">
        <f>E23/$C$22</f>
        <v>0.32157192345549607</v>
      </c>
    </row>
  </sheetData>
  <mergeCells count="9">
    <mergeCell ref="A23:B23"/>
    <mergeCell ref="A24:B24"/>
    <mergeCell ref="F20:P21"/>
    <mergeCell ref="B1:E1"/>
    <mergeCell ref="A18:B18"/>
    <mergeCell ref="A19:B19"/>
    <mergeCell ref="A20:B20"/>
    <mergeCell ref="A21:B21"/>
    <mergeCell ref="A22:B22"/>
  </mergeCells>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8D379-7F45-488C-949F-E398DC1E4059}">
  <dimension ref="A1:E24"/>
  <sheetViews>
    <sheetView topLeftCell="A8" zoomScaleNormal="100" workbookViewId="0">
      <selection activeCell="G26" sqref="G26"/>
    </sheetView>
  </sheetViews>
  <sheetFormatPr defaultColWidth="8.85546875" defaultRowHeight="15" x14ac:dyDescent="0.25"/>
  <cols>
    <col min="1" max="1" width="60.7109375" style="1" customWidth="1"/>
    <col min="2" max="2" width="10.7109375" style="3" customWidth="1"/>
    <col min="3" max="4" width="20.7109375" style="3" customWidth="1"/>
    <col min="5" max="8" width="20.7109375" style="1" customWidth="1"/>
    <col min="9" max="16384" width="8.85546875" style="1"/>
  </cols>
  <sheetData>
    <row r="1" spans="2:5" ht="26.25" customHeight="1" x14ac:dyDescent="0.25">
      <c r="B1" s="108" t="s">
        <v>36</v>
      </c>
      <c r="C1" s="108"/>
      <c r="D1" s="108"/>
      <c r="E1" s="108"/>
    </row>
    <row r="2" spans="2:5" ht="30" x14ac:dyDescent="0.25">
      <c r="B2" s="2" t="s">
        <v>0</v>
      </c>
      <c r="C2" s="2" t="s">
        <v>37</v>
      </c>
      <c r="D2" s="2" t="s">
        <v>38</v>
      </c>
      <c r="E2" s="2" t="s">
        <v>39</v>
      </c>
    </row>
    <row r="3" spans="2:5" x14ac:dyDescent="0.25">
      <c r="B3" s="4">
        <v>1</v>
      </c>
      <c r="C3" s="5">
        <v>0.82128100000000004</v>
      </c>
      <c r="D3" s="8">
        <v>0.82077699999999998</v>
      </c>
      <c r="E3" s="8">
        <v>0.72261900000000001</v>
      </c>
    </row>
    <row r="4" spans="2:5" x14ac:dyDescent="0.25">
      <c r="B4" s="4">
        <v>2</v>
      </c>
      <c r="C4" s="5">
        <v>0.82533699999999999</v>
      </c>
      <c r="D4" s="8">
        <v>0.82217499999999999</v>
      </c>
      <c r="E4" s="8">
        <v>0.72331800000000002</v>
      </c>
    </row>
    <row r="5" spans="2:5" x14ac:dyDescent="0.25">
      <c r="B5" s="4">
        <v>3</v>
      </c>
      <c r="C5" s="5">
        <v>0.85224500000000003</v>
      </c>
      <c r="D5" s="8">
        <v>0.82579000000000002</v>
      </c>
      <c r="E5" s="8">
        <v>0.72035199999999999</v>
      </c>
    </row>
    <row r="6" spans="2:5" x14ac:dyDescent="0.25">
      <c r="B6" s="4">
        <v>4</v>
      </c>
      <c r="C6" s="5">
        <v>0.85133199999999998</v>
      </c>
      <c r="D6" s="8">
        <v>0.82099699999999998</v>
      </c>
      <c r="E6" s="8">
        <v>0.74759900000000001</v>
      </c>
    </row>
    <row r="7" spans="2:5" x14ac:dyDescent="0.25">
      <c r="B7" s="4">
        <v>5</v>
      </c>
      <c r="C7" s="5">
        <v>0.82354899999999998</v>
      </c>
      <c r="D7" s="8">
        <v>0.86217200000000005</v>
      </c>
      <c r="E7" s="8">
        <v>0.76178400000000002</v>
      </c>
    </row>
    <row r="8" spans="2:5" x14ac:dyDescent="0.25">
      <c r="B8" s="4">
        <v>6</v>
      </c>
      <c r="C8" s="5">
        <v>0.82696800000000004</v>
      </c>
      <c r="D8" s="8">
        <v>0.87156</v>
      </c>
      <c r="E8" s="8">
        <v>0.72070400000000001</v>
      </c>
    </row>
    <row r="9" spans="2:5" x14ac:dyDescent="0.25">
      <c r="B9" s="4">
        <v>7</v>
      </c>
      <c r="C9" s="5">
        <v>0.82970999999999995</v>
      </c>
      <c r="D9" s="8">
        <v>0.81653900000000001</v>
      </c>
      <c r="E9" s="8">
        <v>0.72864099999999998</v>
      </c>
    </row>
    <row r="10" spans="2:5" x14ac:dyDescent="0.25">
      <c r="B10" s="4">
        <v>8</v>
      </c>
      <c r="C10" s="5">
        <v>0.82337899999999997</v>
      </c>
      <c r="D10" s="8">
        <v>0.85996300000000003</v>
      </c>
      <c r="E10" s="8">
        <v>0.74331199999999997</v>
      </c>
    </row>
    <row r="11" spans="2:5" x14ac:dyDescent="0.25">
      <c r="B11" s="4">
        <v>9</v>
      </c>
      <c r="C11" s="5">
        <v>0.82655100000000004</v>
      </c>
      <c r="D11" s="8">
        <v>0.87055700000000003</v>
      </c>
      <c r="E11" s="8">
        <v>0.71834100000000001</v>
      </c>
    </row>
    <row r="12" spans="2:5" x14ac:dyDescent="0.25">
      <c r="B12" s="4">
        <v>10</v>
      </c>
      <c r="C12" s="5">
        <v>0.86569099999999999</v>
      </c>
      <c r="D12" s="8">
        <v>0.81455</v>
      </c>
      <c r="E12" s="8">
        <v>0.72254499999999999</v>
      </c>
    </row>
    <row r="13" spans="2:5" x14ac:dyDescent="0.25">
      <c r="B13" s="4">
        <v>11</v>
      </c>
      <c r="C13" s="5">
        <v>0.83446100000000001</v>
      </c>
      <c r="D13" s="8">
        <v>0.82033400000000001</v>
      </c>
      <c r="E13" s="8">
        <v>0.72351200000000004</v>
      </c>
    </row>
    <row r="14" spans="2:5" x14ac:dyDescent="0.25">
      <c r="B14" s="4">
        <v>12</v>
      </c>
      <c r="C14" s="5">
        <v>0.82706100000000005</v>
      </c>
      <c r="D14" s="8">
        <v>0.81931799999999999</v>
      </c>
      <c r="E14" s="8">
        <v>0.729356</v>
      </c>
    </row>
    <row r="15" spans="2:5" x14ac:dyDescent="0.25">
      <c r="B15" s="4">
        <v>13</v>
      </c>
      <c r="C15" s="5">
        <v>0.82603700000000002</v>
      </c>
      <c r="D15" s="8">
        <v>0.85657899999999998</v>
      </c>
      <c r="E15" s="8">
        <v>0.73201899999999998</v>
      </c>
    </row>
    <row r="16" spans="2:5" x14ac:dyDescent="0.25">
      <c r="B16" s="4">
        <v>14</v>
      </c>
      <c r="C16" s="5">
        <v>0.84931900000000005</v>
      </c>
      <c r="D16" s="8">
        <v>0.84872999999999998</v>
      </c>
      <c r="E16" s="8">
        <v>0.72702100000000003</v>
      </c>
    </row>
    <row r="17" spans="1:5" x14ac:dyDescent="0.25">
      <c r="B17" s="4">
        <v>15</v>
      </c>
      <c r="C17" s="5">
        <v>0.86409999999999998</v>
      </c>
      <c r="D17" s="8">
        <v>0.82036100000000001</v>
      </c>
      <c r="E17" s="8">
        <v>0.72831400000000002</v>
      </c>
    </row>
    <row r="18" spans="1:5" ht="24" x14ac:dyDescent="0.4">
      <c r="A18" s="103" t="s">
        <v>32</v>
      </c>
      <c r="B18" s="103"/>
      <c r="C18" s="6">
        <f>AVERAGE(Table145678[Time to run 1M calls of NR VIs (seconds)])</f>
        <v>0.83646806666666673</v>
      </c>
      <c r="D18" s="6">
        <f>AVERAGE(Table145678[Time to run 1M calls of SCR VIs (seconds)])</f>
        <v>0.83669346666666666</v>
      </c>
      <c r="E18" s="6">
        <f>AVERAGE(Table145678[Time to run 1M calls of PCR VIs (seconds)])</f>
        <v>0.72996246666666653</v>
      </c>
    </row>
    <row r="19" spans="1:5" ht="24" x14ac:dyDescent="0.4">
      <c r="A19" s="103" t="s">
        <v>33</v>
      </c>
      <c r="B19" s="103"/>
      <c r="C19" s="6">
        <f>C18*1000000/1000000</f>
        <v>0.83646806666666673</v>
      </c>
      <c r="D19" s="6">
        <f>D18*1000000/1000000</f>
        <v>0.83669346666666666</v>
      </c>
      <c r="E19" s="6">
        <f>E18*1000000/1000000</f>
        <v>0.72996246666666653</v>
      </c>
    </row>
    <row r="20" spans="1:5" ht="24" x14ac:dyDescent="0.4">
      <c r="A20" s="103" t="s">
        <v>34</v>
      </c>
      <c r="B20" s="103"/>
      <c r="C20" s="17" t="s">
        <v>20</v>
      </c>
      <c r="D20" s="21">
        <f>D19-C19</f>
        <v>2.2539999999993121E-4</v>
      </c>
      <c r="E20" s="22">
        <f>E19-C19</f>
        <v>-0.1065056000000002</v>
      </c>
    </row>
    <row r="21" spans="1:5" ht="26.25" customHeight="1" x14ac:dyDescent="0.4">
      <c r="A21" s="103" t="s">
        <v>35</v>
      </c>
      <c r="B21" s="103"/>
      <c r="C21" s="17" t="s">
        <v>20</v>
      </c>
      <c r="D21" s="21">
        <f>D20*1000</f>
        <v>0.22539999999993121</v>
      </c>
      <c r="E21" s="22">
        <f>E20*1000</f>
        <v>-106.5056000000002</v>
      </c>
    </row>
    <row r="22" spans="1:5" ht="24" x14ac:dyDescent="0.4">
      <c r="A22" s="102" t="s">
        <v>29</v>
      </c>
      <c r="B22" s="102"/>
      <c r="C22" s="7">
        <f>C19*1000*'Machine Details'!$B$3</f>
        <v>2509.4041999999999</v>
      </c>
      <c r="D22" s="7">
        <f>D19*1000*'Machine Details'!$B$3</f>
        <v>2510.0803999999998</v>
      </c>
      <c r="E22" s="7">
        <f>E19*1000*'Machine Details'!$B$3</f>
        <v>2189.8873999999996</v>
      </c>
    </row>
    <row r="23" spans="1:5" ht="46.5" x14ac:dyDescent="0.25">
      <c r="A23" s="102" t="s">
        <v>30</v>
      </c>
      <c r="B23" s="102"/>
      <c r="C23" s="17" t="s">
        <v>20</v>
      </c>
      <c r="D23" s="19">
        <f>ROUND($C$22,0)-ROUND(D22,0)</f>
        <v>-1</v>
      </c>
      <c r="E23" s="23">
        <f>ROUND($C$22,0)-ROUND(E22,0)</f>
        <v>319</v>
      </c>
    </row>
    <row r="24" spans="1:5" ht="46.5" x14ac:dyDescent="0.25">
      <c r="A24" s="102" t="s">
        <v>31</v>
      </c>
      <c r="B24" s="102"/>
      <c r="C24" s="17" t="s">
        <v>20</v>
      </c>
      <c r="D24" s="20">
        <f>D23/$C$22</f>
        <v>-3.9850096688289594E-4</v>
      </c>
      <c r="E24" s="31">
        <f>E23/$C$22</f>
        <v>0.1271218084356438</v>
      </c>
    </row>
  </sheetData>
  <mergeCells count="8">
    <mergeCell ref="A22:B22"/>
    <mergeCell ref="A23:B23"/>
    <mergeCell ref="A24:B24"/>
    <mergeCell ref="B1:E1"/>
    <mergeCell ref="A18:B18"/>
    <mergeCell ref="A19:B19"/>
    <mergeCell ref="A20:B20"/>
    <mergeCell ref="A21:B21"/>
  </mergeCells>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68A0A-0B09-4E5E-8BBA-0B01A1526527}">
  <dimension ref="A1:D24"/>
  <sheetViews>
    <sheetView zoomScaleNormal="100" workbookViewId="0">
      <selection activeCell="F30" sqref="F30"/>
    </sheetView>
  </sheetViews>
  <sheetFormatPr defaultColWidth="8.85546875" defaultRowHeight="15" x14ac:dyDescent="0.25"/>
  <cols>
    <col min="1" max="1" width="60.7109375" style="1" customWidth="1"/>
    <col min="2" max="2" width="10.7109375" style="3" customWidth="1"/>
    <col min="3" max="3" width="20.7109375" style="3" customWidth="1"/>
    <col min="4" max="7" width="20.7109375" style="1" customWidth="1"/>
    <col min="8" max="16384" width="8.85546875" style="1"/>
  </cols>
  <sheetData>
    <row r="1" spans="2:4" ht="26.25" customHeight="1" x14ac:dyDescent="0.25">
      <c r="B1" s="108" t="s">
        <v>40</v>
      </c>
      <c r="C1" s="108"/>
      <c r="D1" s="108"/>
    </row>
    <row r="2" spans="2:4" ht="30" x14ac:dyDescent="0.25">
      <c r="B2" s="2" t="s">
        <v>0</v>
      </c>
      <c r="C2" s="2" t="s">
        <v>37</v>
      </c>
      <c r="D2" s="2" t="s">
        <v>39</v>
      </c>
    </row>
    <row r="3" spans="2:4" x14ac:dyDescent="0.25">
      <c r="B3" s="4">
        <v>1</v>
      </c>
      <c r="C3" s="5">
        <v>4.0873799999999996</v>
      </c>
      <c r="D3" s="8">
        <v>3.5515530000000002</v>
      </c>
    </row>
    <row r="4" spans="2:4" x14ac:dyDescent="0.25">
      <c r="B4" s="4">
        <v>2</v>
      </c>
      <c r="C4" s="5">
        <v>4.2107020000000004</v>
      </c>
      <c r="D4" s="8">
        <v>3.6698599999999999</v>
      </c>
    </row>
    <row r="5" spans="2:4" x14ac:dyDescent="0.25">
      <c r="B5" s="4">
        <v>3</v>
      </c>
      <c r="C5" s="5">
        <v>4.0803950000000002</v>
      </c>
      <c r="D5" s="8">
        <v>3.709581</v>
      </c>
    </row>
    <row r="6" spans="2:4" x14ac:dyDescent="0.25">
      <c r="B6" s="4">
        <v>4</v>
      </c>
      <c r="C6" s="5">
        <v>4.2417769999999999</v>
      </c>
      <c r="D6" s="8">
        <v>3.855426</v>
      </c>
    </row>
    <row r="7" spans="2:4" x14ac:dyDescent="0.25">
      <c r="B7" s="4">
        <v>5</v>
      </c>
      <c r="C7" s="5">
        <v>4.2577879999999997</v>
      </c>
      <c r="D7" s="8">
        <v>3.9197829999999998</v>
      </c>
    </row>
    <row r="8" spans="2:4" x14ac:dyDescent="0.25">
      <c r="B8" s="4">
        <v>6</v>
      </c>
      <c r="C8" s="5">
        <v>4.2088650000000003</v>
      </c>
      <c r="D8" s="8">
        <v>3.675926</v>
      </c>
    </row>
    <row r="9" spans="2:4" x14ac:dyDescent="0.25">
      <c r="B9" s="4">
        <v>7</v>
      </c>
      <c r="C9" s="5">
        <v>4.238855</v>
      </c>
      <c r="D9" s="8">
        <v>3.647602</v>
      </c>
    </row>
    <row r="10" spans="2:4" x14ac:dyDescent="0.25">
      <c r="B10" s="4">
        <v>8</v>
      </c>
      <c r="C10" s="5">
        <v>4.2306910000000002</v>
      </c>
      <c r="D10" s="8">
        <v>3.7308949999999999</v>
      </c>
    </row>
    <row r="11" spans="2:4" x14ac:dyDescent="0.25">
      <c r="B11" s="4">
        <v>9</v>
      </c>
      <c r="C11" s="5">
        <v>4.2442279999999997</v>
      </c>
      <c r="D11" s="8">
        <v>3.6763089999999998</v>
      </c>
    </row>
    <row r="12" spans="2:4" x14ac:dyDescent="0.25">
      <c r="B12" s="4">
        <v>10</v>
      </c>
      <c r="C12" s="5">
        <v>4.2634489999999996</v>
      </c>
      <c r="D12" s="8">
        <v>3.662639</v>
      </c>
    </row>
    <row r="13" spans="2:4" x14ac:dyDescent="0.25">
      <c r="B13" s="4">
        <v>11</v>
      </c>
      <c r="C13" s="5">
        <v>4.2253809999999996</v>
      </c>
      <c r="D13" s="8">
        <v>3.8631730000000002</v>
      </c>
    </row>
    <row r="14" spans="2:4" x14ac:dyDescent="0.25">
      <c r="B14" s="4">
        <v>12</v>
      </c>
      <c r="C14" s="5">
        <v>4.3438410000000003</v>
      </c>
      <c r="D14" s="8">
        <v>3.934409</v>
      </c>
    </row>
    <row r="15" spans="2:4" x14ac:dyDescent="0.25">
      <c r="B15" s="4">
        <v>13</v>
      </c>
      <c r="C15" s="5">
        <v>4.2916840000000001</v>
      </c>
      <c r="D15" s="8">
        <v>3.7532000000000001</v>
      </c>
    </row>
    <row r="16" spans="2:4" x14ac:dyDescent="0.25">
      <c r="B16" s="4">
        <v>14</v>
      </c>
      <c r="C16" s="5">
        <v>4.3445859999999996</v>
      </c>
      <c r="D16" s="8">
        <v>3.8735650000000001</v>
      </c>
    </row>
    <row r="17" spans="1:4" x14ac:dyDescent="0.25">
      <c r="B17" s="4">
        <v>15</v>
      </c>
      <c r="C17" s="5">
        <v>4.3289220000000004</v>
      </c>
      <c r="D17" s="8">
        <v>3.7187600000000001</v>
      </c>
    </row>
    <row r="18" spans="1:4" ht="24" x14ac:dyDescent="0.4">
      <c r="A18" s="103" t="s">
        <v>32</v>
      </c>
      <c r="B18" s="103"/>
      <c r="C18" s="6">
        <f>AVERAGE(Table1456789[Time to run 1M calls of NR VIs (seconds)])</f>
        <v>4.239902933333334</v>
      </c>
      <c r="D18" s="6">
        <f>AVERAGE(Table1456789[Time to run 1M calls of PCR VIs (seconds)])</f>
        <v>3.749512066666667</v>
      </c>
    </row>
    <row r="19" spans="1:4" ht="24" x14ac:dyDescent="0.4">
      <c r="A19" s="103" t="s">
        <v>33</v>
      </c>
      <c r="B19" s="103"/>
      <c r="C19" s="6">
        <f>C18*1000000/1000000</f>
        <v>4.239902933333334</v>
      </c>
      <c r="D19" s="6">
        <f>D18*1000000/1000000</f>
        <v>3.749512066666667</v>
      </c>
    </row>
    <row r="20" spans="1:4" ht="24" x14ac:dyDescent="0.4">
      <c r="A20" s="103" t="s">
        <v>34</v>
      </c>
      <c r="B20" s="103"/>
      <c r="C20" s="17" t="s">
        <v>20</v>
      </c>
      <c r="D20" s="22">
        <f>D19-C19</f>
        <v>-0.49039086666666698</v>
      </c>
    </row>
    <row r="21" spans="1:4" ht="26.25" customHeight="1" x14ac:dyDescent="0.4">
      <c r="A21" s="103" t="s">
        <v>35</v>
      </c>
      <c r="B21" s="103"/>
      <c r="C21" s="17" t="s">
        <v>20</v>
      </c>
      <c r="D21" s="22">
        <f>D20*1000</f>
        <v>-490.39086666666697</v>
      </c>
    </row>
    <row r="22" spans="1:4" ht="24" x14ac:dyDescent="0.4">
      <c r="A22" s="102" t="s">
        <v>29</v>
      </c>
      <c r="B22" s="102"/>
      <c r="C22" s="7">
        <f>C19*1000*'Machine Details'!$B$3</f>
        <v>12719.7088</v>
      </c>
      <c r="D22" s="7">
        <f>D19*1000*'Machine Details'!$B$3</f>
        <v>11248.536200000002</v>
      </c>
    </row>
    <row r="23" spans="1:4" ht="46.5" x14ac:dyDescent="0.25">
      <c r="A23" s="102" t="s">
        <v>30</v>
      </c>
      <c r="B23" s="102"/>
      <c r="C23" s="17" t="s">
        <v>20</v>
      </c>
      <c r="D23" s="23">
        <f>ROUND($C$22,0)-ROUND(D22,0)</f>
        <v>1471</v>
      </c>
    </row>
    <row r="24" spans="1:4" ht="46.5" x14ac:dyDescent="0.25">
      <c r="A24" s="102" t="s">
        <v>31</v>
      </c>
      <c r="B24" s="102"/>
      <c r="C24" s="17" t="s">
        <v>20</v>
      </c>
      <c r="D24" s="31">
        <f>D23/$C$22</f>
        <v>0.11564730161118153</v>
      </c>
    </row>
  </sheetData>
  <mergeCells count="8">
    <mergeCell ref="A23:B23"/>
    <mergeCell ref="A24:B24"/>
    <mergeCell ref="B1:D1"/>
    <mergeCell ref="A18:B18"/>
    <mergeCell ref="A19:B19"/>
    <mergeCell ref="A20:B20"/>
    <mergeCell ref="A21:B21"/>
    <mergeCell ref="A22:B22"/>
  </mergeCells>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DC932-F674-4193-B70A-A3CBA4CA6633}">
  <dimension ref="A1:M19"/>
  <sheetViews>
    <sheetView zoomScaleNormal="100" workbookViewId="0">
      <selection activeCell="C16" sqref="C16"/>
    </sheetView>
  </sheetViews>
  <sheetFormatPr defaultColWidth="8.85546875" defaultRowHeight="15" x14ac:dyDescent="0.25"/>
  <cols>
    <col min="1" max="1" width="60.7109375" style="1" customWidth="1"/>
    <col min="2" max="2" width="10.7109375" style="3" customWidth="1"/>
    <col min="3" max="3" width="20.7109375" style="3" customWidth="1"/>
    <col min="4" max="4" width="20.7109375" style="1" customWidth="1"/>
    <col min="5" max="6" width="20.7109375" customWidth="1"/>
    <col min="7" max="13" width="20.7109375" style="1" customWidth="1"/>
    <col min="14" max="16384" width="8.85546875" style="1"/>
  </cols>
  <sheetData>
    <row r="1" spans="1:13" ht="26.25" customHeight="1" x14ac:dyDescent="0.25">
      <c r="B1" s="108" t="s">
        <v>48</v>
      </c>
      <c r="C1" s="108"/>
      <c r="D1" s="108"/>
      <c r="E1" s="108"/>
      <c r="F1" s="108"/>
    </row>
    <row r="2" spans="1:13" ht="45" x14ac:dyDescent="0.25">
      <c r="B2" s="2" t="s">
        <v>0</v>
      </c>
      <c r="C2" s="2" t="s">
        <v>49</v>
      </c>
      <c r="D2" s="2" t="s">
        <v>50</v>
      </c>
      <c r="E2" s="2" t="s">
        <v>54</v>
      </c>
      <c r="F2" s="2" t="s">
        <v>58</v>
      </c>
    </row>
    <row r="3" spans="1:13" x14ac:dyDescent="0.25">
      <c r="B3" s="4">
        <v>1</v>
      </c>
      <c r="C3" s="5">
        <v>3.9603799999999998</v>
      </c>
      <c r="D3" s="8">
        <v>3.4777999999999998</v>
      </c>
      <c r="E3" s="13">
        <v>3.6051380000000002</v>
      </c>
      <c r="F3" s="13">
        <v>3.6905109999999999</v>
      </c>
    </row>
    <row r="4" spans="1:13" x14ac:dyDescent="0.25">
      <c r="B4" s="4">
        <v>2</v>
      </c>
      <c r="C4" s="5">
        <v>4.2758919999999998</v>
      </c>
      <c r="D4" s="8">
        <v>3.7667190000000002</v>
      </c>
      <c r="E4" s="13">
        <v>3.7296040000000001</v>
      </c>
      <c r="F4" s="13">
        <v>3.6165099999999999</v>
      </c>
    </row>
    <row r="5" spans="1:13" x14ac:dyDescent="0.25">
      <c r="B5" s="4">
        <v>3</v>
      </c>
      <c r="C5" s="5">
        <v>4.0384029999999997</v>
      </c>
      <c r="D5" s="8">
        <v>3.7968419999999998</v>
      </c>
      <c r="E5" s="13">
        <v>3.5411730000000001</v>
      </c>
      <c r="F5" s="13">
        <v>4.1043779999999996</v>
      </c>
    </row>
    <row r="6" spans="1:13" x14ac:dyDescent="0.25">
      <c r="B6" s="4">
        <v>4</v>
      </c>
      <c r="C6" s="5">
        <v>4.1078340000000004</v>
      </c>
      <c r="D6" s="8">
        <v>3.857872</v>
      </c>
      <c r="E6" s="13">
        <v>3.9842629999999999</v>
      </c>
      <c r="F6" s="13">
        <v>3.4774720000000001</v>
      </c>
    </row>
    <row r="7" spans="1:13" x14ac:dyDescent="0.25">
      <c r="B7" s="4">
        <v>5</v>
      </c>
      <c r="C7" s="5">
        <v>4.6742860000000004</v>
      </c>
      <c r="D7" s="8">
        <v>3.7440220000000002</v>
      </c>
      <c r="E7" s="13">
        <v>3.615348</v>
      </c>
      <c r="F7" s="13">
        <v>3.6687780000000001</v>
      </c>
    </row>
    <row r="8" spans="1:13" x14ac:dyDescent="0.25">
      <c r="B8" s="4">
        <v>6</v>
      </c>
      <c r="C8" s="5">
        <v>4.4900070000000003</v>
      </c>
      <c r="D8" s="8">
        <v>3.526475</v>
      </c>
      <c r="E8" s="13">
        <v>3.4871810000000001</v>
      </c>
      <c r="F8" s="13">
        <v>3.9103319999999999</v>
      </c>
    </row>
    <row r="9" spans="1:13" x14ac:dyDescent="0.25">
      <c r="B9" s="4">
        <v>7</v>
      </c>
      <c r="C9" s="5">
        <v>4.012537</v>
      </c>
      <c r="D9" s="8">
        <v>3.6531769999999999</v>
      </c>
      <c r="E9" s="13">
        <v>3.48637</v>
      </c>
      <c r="F9" s="13">
        <v>3.6508470000000002</v>
      </c>
    </row>
    <row r="10" spans="1:13" x14ac:dyDescent="0.25">
      <c r="B10" s="4">
        <v>8</v>
      </c>
      <c r="C10" s="5">
        <v>4.2231449999999997</v>
      </c>
      <c r="D10" s="8">
        <v>4.0522669999999996</v>
      </c>
      <c r="E10" s="13">
        <v>3.5778340000000002</v>
      </c>
      <c r="F10" s="13">
        <v>3.8542190000000001</v>
      </c>
    </row>
    <row r="11" spans="1:13" x14ac:dyDescent="0.25">
      <c r="B11" s="4">
        <v>9</v>
      </c>
      <c r="C11" s="5">
        <v>4.1782579999999996</v>
      </c>
      <c r="D11" s="8">
        <v>3.7144620000000002</v>
      </c>
      <c r="E11" s="13">
        <v>3.6883059999999999</v>
      </c>
      <c r="F11" s="13">
        <v>3.7846129999999998</v>
      </c>
    </row>
    <row r="12" spans="1:13" ht="15.75" thickBot="1" x14ac:dyDescent="0.3">
      <c r="B12" s="4">
        <v>10</v>
      </c>
      <c r="C12" s="5">
        <v>4.2541469999999997</v>
      </c>
      <c r="D12" s="8">
        <v>3.6377989999999998</v>
      </c>
      <c r="E12" s="13">
        <v>3.5116160000000001</v>
      </c>
      <c r="F12" s="13">
        <v>3.6555019999999998</v>
      </c>
    </row>
    <row r="13" spans="1:13" ht="24" customHeight="1" thickBot="1" x14ac:dyDescent="0.45">
      <c r="A13" s="103" t="s">
        <v>32</v>
      </c>
      <c r="B13" s="103"/>
      <c r="C13" s="6">
        <f>AVERAGE(Table145678910[Time to run 1M calls of NR DBG OFF VIs (seconds)])</f>
        <v>4.2214888999999998</v>
      </c>
      <c r="D13" s="6">
        <f>AVERAGE(Table145678910[Time to run 1M calls of PCR DBG OFF VIs (seconds)])</f>
        <v>3.7227435</v>
      </c>
      <c r="E13" s="6">
        <f>AVERAGE(Table145678910[Time to run 1M calls of PCR DBG OFF INLN VIs (seconds)])</f>
        <v>3.6226832999999998</v>
      </c>
      <c r="F13" s="6">
        <f>AVERAGE(Table145678910[Time to run 1M calls of PCR SBRTN VIs (seconds)])</f>
        <v>3.7413162</v>
      </c>
      <c r="G13" s="37"/>
      <c r="H13" s="114" t="s">
        <v>51</v>
      </c>
      <c r="I13" s="115"/>
    </row>
    <row r="14" spans="1:13" ht="26.25" customHeight="1" x14ac:dyDescent="0.4">
      <c r="A14" s="103" t="s">
        <v>33</v>
      </c>
      <c r="B14" s="103"/>
      <c r="C14" s="6">
        <f>C13*1000000/1000000</f>
        <v>4.2214888999999998</v>
      </c>
      <c r="D14" s="6">
        <f>D13*1000000/1000000</f>
        <v>3.7227435</v>
      </c>
      <c r="E14" s="6">
        <f>E13*1000000/1000000</f>
        <v>3.6226832999999998</v>
      </c>
      <c r="F14" s="6">
        <f>F13*1000000/1000000</f>
        <v>3.7413162</v>
      </c>
      <c r="G14" s="38"/>
      <c r="H14" s="6">
        <v>4.239902933333334</v>
      </c>
      <c r="I14" s="26">
        <v>3.749512066666667</v>
      </c>
      <c r="J14" s="110" t="s">
        <v>55</v>
      </c>
      <c r="K14" s="111"/>
      <c r="L14" s="112" t="s">
        <v>59</v>
      </c>
      <c r="M14" s="113"/>
    </row>
    <row r="15" spans="1:13" ht="62.25" x14ac:dyDescent="0.4">
      <c r="A15" s="103" t="s">
        <v>34</v>
      </c>
      <c r="B15" s="103"/>
      <c r="C15" s="17" t="s">
        <v>20</v>
      </c>
      <c r="D15" s="22">
        <f>D14-C14</f>
        <v>-0.49874539999999978</v>
      </c>
      <c r="G15" s="38" t="s">
        <v>52</v>
      </c>
      <c r="H15" s="22">
        <f>H14-C14</f>
        <v>1.8414033333334245E-2</v>
      </c>
      <c r="I15" s="27">
        <f>I14-D14</f>
        <v>2.6768566666667049E-2</v>
      </c>
      <c r="J15" s="38" t="s">
        <v>56</v>
      </c>
      <c r="K15" s="27">
        <f>D14-E14</f>
        <v>0.10006020000000015</v>
      </c>
      <c r="L15" s="1" t="s">
        <v>60</v>
      </c>
    </row>
    <row r="16" spans="1:13" ht="32.25" customHeight="1" thickBot="1" x14ac:dyDescent="0.45">
      <c r="A16" s="103" t="s">
        <v>35</v>
      </c>
      <c r="B16" s="103"/>
      <c r="C16" s="17" t="s">
        <v>20</v>
      </c>
      <c r="D16" s="22">
        <f>D15*1000</f>
        <v>-498.74539999999979</v>
      </c>
      <c r="G16" s="39" t="s">
        <v>53</v>
      </c>
      <c r="H16" s="40">
        <f>H15/H14</f>
        <v>4.3430318153197603E-3</v>
      </c>
      <c r="I16" s="41">
        <f>I15/I14</f>
        <v>7.1392133671580428E-3</v>
      </c>
      <c r="J16" s="39" t="s">
        <v>57</v>
      </c>
      <c r="K16" s="41">
        <f>K15/D14</f>
        <v>2.6878080641333509E-2</v>
      </c>
    </row>
    <row r="17" spans="1:4" ht="24" x14ac:dyDescent="0.4">
      <c r="A17" s="102" t="s">
        <v>29</v>
      </c>
      <c r="B17" s="102"/>
      <c r="C17" s="7">
        <f>C14*1000*'Machine Details'!$B$3</f>
        <v>12664.466699999997</v>
      </c>
      <c r="D17" s="7">
        <f>D14*1000*'Machine Details'!$B$3</f>
        <v>11168.2305</v>
      </c>
    </row>
    <row r="18" spans="1:4" ht="46.5" x14ac:dyDescent="0.25">
      <c r="A18" s="102" t="s">
        <v>30</v>
      </c>
      <c r="B18" s="102"/>
      <c r="C18" s="17" t="s">
        <v>20</v>
      </c>
      <c r="D18" s="23">
        <f>ROUND($C$17,0)-ROUND(D17,0)</f>
        <v>1496</v>
      </c>
    </row>
    <row r="19" spans="1:4" ht="46.5" x14ac:dyDescent="0.25">
      <c r="A19" s="102" t="s">
        <v>31</v>
      </c>
      <c r="B19" s="102"/>
      <c r="C19" s="17" t="s">
        <v>20</v>
      </c>
      <c r="D19" s="31">
        <f>D18/$C$17</f>
        <v>0.11812577942978052</v>
      </c>
    </row>
  </sheetData>
  <mergeCells count="11">
    <mergeCell ref="J14:K14"/>
    <mergeCell ref="B1:F1"/>
    <mergeCell ref="L14:M14"/>
    <mergeCell ref="A18:B18"/>
    <mergeCell ref="A19:B19"/>
    <mergeCell ref="H13:I13"/>
    <mergeCell ref="A13:B13"/>
    <mergeCell ref="A14:B14"/>
    <mergeCell ref="A15:B15"/>
    <mergeCell ref="A16:B16"/>
    <mergeCell ref="A17:B17"/>
  </mergeCells>
  <pageMargins left="0.7" right="0.7" top="0.75" bottom="0.75" header="0.3" footer="0.3"/>
  <pageSetup paperSize="9"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FB7FF-C584-41DF-9302-E1C470CD7339}">
  <dimension ref="A1:M19"/>
  <sheetViews>
    <sheetView zoomScaleNormal="100" workbookViewId="0">
      <selection activeCell="K19" sqref="K19"/>
    </sheetView>
  </sheetViews>
  <sheetFormatPr defaultColWidth="8.85546875" defaultRowHeight="15" x14ac:dyDescent="0.25"/>
  <cols>
    <col min="1" max="1" width="60.7109375" style="1" customWidth="1"/>
    <col min="2" max="2" width="10.7109375" style="3" customWidth="1"/>
    <col min="3" max="3" width="20.7109375" style="3" customWidth="1"/>
    <col min="4" max="4" width="20.7109375" style="1" customWidth="1"/>
    <col min="5" max="6" width="20.7109375" customWidth="1"/>
    <col min="7" max="13" width="20.7109375" style="1" customWidth="1"/>
    <col min="14" max="16384" width="8.85546875" style="1"/>
  </cols>
  <sheetData>
    <row r="1" spans="1:13" ht="26.25" customHeight="1" x14ac:dyDescent="0.25">
      <c r="B1" s="108" t="s">
        <v>48</v>
      </c>
      <c r="C1" s="108"/>
      <c r="D1" s="108"/>
      <c r="E1" s="108"/>
      <c r="F1" s="108"/>
    </row>
    <row r="2" spans="1:13" ht="45" x14ac:dyDescent="0.25">
      <c r="B2" s="2" t="s">
        <v>0</v>
      </c>
      <c r="C2" s="2" t="s">
        <v>49</v>
      </c>
      <c r="D2" s="2" t="s">
        <v>50</v>
      </c>
      <c r="E2" s="2" t="s">
        <v>54</v>
      </c>
      <c r="F2" s="2" t="s">
        <v>58</v>
      </c>
    </row>
    <row r="3" spans="1:13" x14ac:dyDescent="0.25">
      <c r="B3" s="4">
        <v>1</v>
      </c>
      <c r="C3" s="5">
        <v>4.0957679999999996</v>
      </c>
      <c r="D3" s="8">
        <v>3.9208750000000001</v>
      </c>
      <c r="E3" s="13">
        <v>3.6978900000000001</v>
      </c>
      <c r="F3" s="13">
        <v>3.5909179999999998</v>
      </c>
    </row>
    <row r="4" spans="1:13" x14ac:dyDescent="0.25">
      <c r="B4" s="4">
        <v>2</v>
      </c>
      <c r="C4" s="5">
        <v>4.494904</v>
      </c>
      <c r="D4" s="8">
        <v>3.5975739999999998</v>
      </c>
      <c r="E4" s="13">
        <v>3.380239</v>
      </c>
      <c r="F4" s="13">
        <v>3.6487289999999999</v>
      </c>
    </row>
    <row r="5" spans="1:13" x14ac:dyDescent="0.25">
      <c r="B5" s="4">
        <v>3</v>
      </c>
      <c r="C5" s="5">
        <v>4.1322799999999997</v>
      </c>
      <c r="D5" s="8">
        <v>3.9081739999999998</v>
      </c>
      <c r="E5" s="13">
        <v>3.3427750000000001</v>
      </c>
      <c r="F5" s="13">
        <v>3.657111</v>
      </c>
    </row>
    <row r="6" spans="1:13" x14ac:dyDescent="0.25">
      <c r="B6" s="4">
        <v>4</v>
      </c>
      <c r="C6" s="5">
        <v>4.3332189999999997</v>
      </c>
      <c r="D6" s="8">
        <v>4.0090880000000002</v>
      </c>
      <c r="E6" s="13">
        <v>3.4355699999999998</v>
      </c>
      <c r="F6" s="13">
        <v>3.6653989999999999</v>
      </c>
    </row>
    <row r="7" spans="1:13" x14ac:dyDescent="0.25">
      <c r="B7" s="4">
        <v>5</v>
      </c>
      <c r="C7" s="5">
        <v>4.3502029999999996</v>
      </c>
      <c r="D7" s="8">
        <v>3.6346880000000001</v>
      </c>
      <c r="E7" s="13">
        <v>3.6555759999999999</v>
      </c>
      <c r="F7" s="13">
        <v>3.59619</v>
      </c>
    </row>
    <row r="8" spans="1:13" x14ac:dyDescent="0.25">
      <c r="B8" s="4">
        <v>6</v>
      </c>
      <c r="C8" s="5">
        <v>4.1147299999999998</v>
      </c>
      <c r="D8" s="8">
        <v>3.58799</v>
      </c>
      <c r="E8" s="13">
        <v>3.378638</v>
      </c>
      <c r="F8" s="13">
        <v>3.6297489999999999</v>
      </c>
    </row>
    <row r="9" spans="1:13" x14ac:dyDescent="0.25">
      <c r="B9" s="4">
        <v>7</v>
      </c>
      <c r="C9" s="5">
        <v>4.1347860000000001</v>
      </c>
      <c r="D9" s="8">
        <v>3.5948280000000001</v>
      </c>
      <c r="E9" s="13">
        <v>3.8102119999999999</v>
      </c>
      <c r="F9" s="13">
        <v>4.0186140000000004</v>
      </c>
    </row>
    <row r="10" spans="1:13" x14ac:dyDescent="0.25">
      <c r="B10" s="4">
        <v>8</v>
      </c>
      <c r="C10" s="5">
        <v>4.1536289999999996</v>
      </c>
      <c r="D10" s="8">
        <v>3.5583999999999998</v>
      </c>
      <c r="E10" s="13">
        <v>3.616552</v>
      </c>
      <c r="F10" s="13">
        <v>3.6429879999999999</v>
      </c>
    </row>
    <row r="11" spans="1:13" x14ac:dyDescent="0.25">
      <c r="B11" s="4">
        <v>9</v>
      </c>
      <c r="C11" s="5">
        <v>4.1797880000000003</v>
      </c>
      <c r="D11" s="8">
        <v>3.9188830000000001</v>
      </c>
      <c r="E11" s="13">
        <v>3.6189990000000001</v>
      </c>
      <c r="F11" s="13">
        <v>3.6476030000000002</v>
      </c>
    </row>
    <row r="12" spans="1:13" x14ac:dyDescent="0.25">
      <c r="B12" s="4">
        <v>10</v>
      </c>
      <c r="C12" s="5">
        <v>4.1394330000000004</v>
      </c>
      <c r="D12" s="8">
        <v>3.8098390000000002</v>
      </c>
      <c r="E12" s="13">
        <v>3.436042</v>
      </c>
      <c r="F12" s="13">
        <v>3.8537590000000002</v>
      </c>
    </row>
    <row r="13" spans="1:13" ht="24" customHeight="1" x14ac:dyDescent="0.4">
      <c r="A13" s="103" t="s">
        <v>32</v>
      </c>
      <c r="B13" s="103"/>
      <c r="C13" s="6">
        <f>AVERAGE(Table1456789102[Time to run 1M calls of NR DBG OFF VIs (seconds)])</f>
        <v>4.2128740000000011</v>
      </c>
      <c r="D13" s="6">
        <f>AVERAGE(Table1456789102[Time to run 1M calls of PCR DBG OFF VIs (seconds)])</f>
        <v>3.7540339000000005</v>
      </c>
      <c r="E13" s="6">
        <f>AVERAGE(Table1456789102[Time to run 1M calls of PCR DBG OFF INLN VIs (seconds)])</f>
        <v>3.5372493</v>
      </c>
      <c r="F13" s="6">
        <f>AVERAGE(Table1456789102[Time to run 1M calls of PCR SBRTN VIs (seconds)])</f>
        <v>3.695106</v>
      </c>
      <c r="G13" s="52"/>
      <c r="H13" s="118" t="s">
        <v>51</v>
      </c>
      <c r="I13" s="119"/>
    </row>
    <row r="14" spans="1:13" ht="26.25" customHeight="1" x14ac:dyDescent="0.4">
      <c r="A14" s="103" t="s">
        <v>33</v>
      </c>
      <c r="B14" s="103"/>
      <c r="C14" s="6">
        <f>C13*1000000/1000000</f>
        <v>4.2128740000000011</v>
      </c>
      <c r="D14" s="6">
        <f>D13*1000000/1000000</f>
        <v>3.7540339000000005</v>
      </c>
      <c r="E14" s="6">
        <f>E13*1000000/1000000</f>
        <v>3.5372492999999996</v>
      </c>
      <c r="F14" s="6">
        <f>F13*1000000/1000000</f>
        <v>3.695106</v>
      </c>
      <c r="G14" s="46"/>
      <c r="H14" s="6">
        <v>4.239902933333334</v>
      </c>
      <c r="I14" s="53">
        <v>3.749512066666667</v>
      </c>
      <c r="J14" s="120" t="s">
        <v>55</v>
      </c>
      <c r="K14" s="117"/>
      <c r="L14" s="116" t="s">
        <v>59</v>
      </c>
      <c r="M14" s="117"/>
    </row>
    <row r="15" spans="1:13" ht="32.25" x14ac:dyDescent="0.4">
      <c r="A15" s="103" t="s">
        <v>34</v>
      </c>
      <c r="B15" s="103"/>
      <c r="C15" s="17" t="s">
        <v>20</v>
      </c>
      <c r="D15" s="22">
        <f>D14-C14</f>
        <v>-0.45884010000000064</v>
      </c>
      <c r="G15" s="46" t="s">
        <v>52</v>
      </c>
      <c r="H15" s="22">
        <f>H14-C14</f>
        <v>2.7028933333332894E-2</v>
      </c>
      <c r="I15" s="47">
        <f>I14-D14</f>
        <v>-4.5218333333334471E-3</v>
      </c>
      <c r="J15" s="1" t="s">
        <v>56</v>
      </c>
      <c r="K15" s="47">
        <f>D14-E14</f>
        <v>0.21678460000000088</v>
      </c>
      <c r="L15" s="46" t="s">
        <v>56</v>
      </c>
      <c r="M15" s="47">
        <f>D14-F14</f>
        <v>5.8927900000000477E-2</v>
      </c>
    </row>
    <row r="16" spans="1:13" ht="32.25" customHeight="1" x14ac:dyDescent="0.4">
      <c r="A16" s="103" t="s">
        <v>35</v>
      </c>
      <c r="B16" s="103"/>
      <c r="C16" s="17" t="s">
        <v>20</v>
      </c>
      <c r="D16" s="22">
        <f>D15*1000</f>
        <v>-458.84010000000063</v>
      </c>
      <c r="G16" s="49" t="s">
        <v>53</v>
      </c>
      <c r="H16" s="54">
        <f>H15/H14</f>
        <v>6.374894368650851E-3</v>
      </c>
      <c r="I16" s="50">
        <f>I15/I14</f>
        <v>-1.2059791388678946E-3</v>
      </c>
      <c r="J16" s="51" t="s">
        <v>57</v>
      </c>
      <c r="K16" s="50">
        <f>K15/D14</f>
        <v>5.7747107717914019E-2</v>
      </c>
      <c r="L16" s="46" t="s">
        <v>57</v>
      </c>
      <c r="M16" s="48">
        <f>M15/D14</f>
        <v>1.5697221061322986E-2</v>
      </c>
    </row>
    <row r="17" spans="1:13" ht="47.25" x14ac:dyDescent="0.4">
      <c r="A17" s="102" t="s">
        <v>29</v>
      </c>
      <c r="B17" s="102"/>
      <c r="C17" s="7">
        <f>C14*1000*'Machine Details'!$B$3</f>
        <v>12638.622000000003</v>
      </c>
      <c r="D17" s="7">
        <f>D14*1000*'Machine Details'!$B$3</f>
        <v>11262.101700000001</v>
      </c>
      <c r="L17" s="49" t="s">
        <v>63</v>
      </c>
      <c r="M17" s="55">
        <f>(E14-F14)/E14</f>
        <v>-4.4626964800021422E-2</v>
      </c>
    </row>
    <row r="18" spans="1:13" ht="46.5" x14ac:dyDescent="0.25">
      <c r="A18" s="102" t="s">
        <v>30</v>
      </c>
      <c r="B18" s="102"/>
      <c r="C18" s="17" t="s">
        <v>20</v>
      </c>
      <c r="D18" s="23">
        <f>ROUND($C$17,0)-ROUND(D17,0)</f>
        <v>1377</v>
      </c>
    </row>
    <row r="19" spans="1:13" ht="46.5" x14ac:dyDescent="0.25">
      <c r="A19" s="102" t="s">
        <v>31</v>
      </c>
      <c r="B19" s="102"/>
      <c r="C19" s="17" t="s">
        <v>20</v>
      </c>
      <c r="D19" s="31">
        <f>D18/$C$17</f>
        <v>0.10895175122730941</v>
      </c>
    </row>
  </sheetData>
  <mergeCells count="11">
    <mergeCell ref="L14:M14"/>
    <mergeCell ref="B1:F1"/>
    <mergeCell ref="A13:B13"/>
    <mergeCell ref="H13:I13"/>
    <mergeCell ref="A14:B14"/>
    <mergeCell ref="J14:K14"/>
    <mergeCell ref="A15:B15"/>
    <mergeCell ref="A16:B16"/>
    <mergeCell ref="A17:B17"/>
    <mergeCell ref="A18:B18"/>
    <mergeCell ref="A19:B19"/>
  </mergeCells>
  <pageMargins left="0.7" right="0.7" top="0.75" bottom="0.75" header="0.3" footer="0.3"/>
  <pageSetup paperSize="9"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E03C5-4314-419D-B938-59124366ED0E}">
  <dimension ref="A1:Q15"/>
  <sheetViews>
    <sheetView tabSelected="1" topLeftCell="A14" zoomScaleNormal="100" workbookViewId="0">
      <selection activeCell="K23" sqref="K23"/>
    </sheetView>
  </sheetViews>
  <sheetFormatPr defaultColWidth="8.85546875" defaultRowHeight="15" x14ac:dyDescent="0.25"/>
  <cols>
    <col min="1" max="1" width="80.7109375" style="1" customWidth="1"/>
    <col min="2" max="2" width="10.7109375" style="3" customWidth="1"/>
    <col min="3" max="3" width="20.7109375" style="3" customWidth="1"/>
    <col min="4" max="4" width="20.7109375" style="1" customWidth="1"/>
    <col min="5" max="6" width="20.7109375" customWidth="1"/>
    <col min="7" max="17" width="20.7109375" style="1" customWidth="1"/>
    <col min="18" max="16384" width="8.85546875" style="1"/>
  </cols>
  <sheetData>
    <row r="1" spans="1:17" ht="26.25" customHeight="1" x14ac:dyDescent="0.25">
      <c r="B1" s="108" t="s">
        <v>64</v>
      </c>
      <c r="C1" s="108"/>
      <c r="D1" s="108"/>
      <c r="E1" s="108"/>
      <c r="F1" s="108"/>
      <c r="G1" s="108"/>
      <c r="H1" s="108"/>
      <c r="I1" s="108"/>
      <c r="J1" s="108"/>
      <c r="K1" s="108"/>
      <c r="L1" s="108"/>
      <c r="M1" s="108"/>
      <c r="N1" s="108"/>
      <c r="O1" s="108"/>
      <c r="P1" s="108"/>
      <c r="Q1" s="108"/>
    </row>
    <row r="2" spans="1:17" ht="60" x14ac:dyDescent="0.25">
      <c r="B2" s="14" t="s">
        <v>0</v>
      </c>
      <c r="C2" s="2" t="s">
        <v>65</v>
      </c>
      <c r="D2" s="2" t="s">
        <v>66</v>
      </c>
      <c r="E2" s="14" t="s">
        <v>67</v>
      </c>
      <c r="F2" s="2" t="s">
        <v>68</v>
      </c>
      <c r="G2" s="2" t="s">
        <v>69</v>
      </c>
      <c r="H2" s="14" t="s">
        <v>70</v>
      </c>
      <c r="I2" s="2" t="s">
        <v>71</v>
      </c>
      <c r="J2" s="2" t="s">
        <v>72</v>
      </c>
      <c r="K2" s="14" t="s">
        <v>73</v>
      </c>
      <c r="L2" s="2" t="s">
        <v>74</v>
      </c>
      <c r="M2" s="2" t="s">
        <v>75</v>
      </c>
      <c r="N2" s="14" t="s">
        <v>76</v>
      </c>
      <c r="O2" s="2" t="s">
        <v>77</v>
      </c>
      <c r="P2" s="2" t="s">
        <v>78</v>
      </c>
      <c r="Q2" s="2" t="s">
        <v>79</v>
      </c>
    </row>
    <row r="3" spans="1:17" x14ac:dyDescent="0.25">
      <c r="B3" s="64">
        <v>1</v>
      </c>
      <c r="C3" s="56">
        <v>2519512</v>
      </c>
      <c r="D3" s="57">
        <v>661961</v>
      </c>
      <c r="E3" s="60">
        <v>319940</v>
      </c>
      <c r="F3" s="58">
        <v>2489299</v>
      </c>
      <c r="G3" s="58">
        <v>1812673</v>
      </c>
      <c r="H3" s="60">
        <v>1291538</v>
      </c>
      <c r="I3" s="58">
        <v>2832228</v>
      </c>
      <c r="J3" s="58">
        <v>2786143.5</v>
      </c>
      <c r="K3" s="60">
        <v>2190395</v>
      </c>
      <c r="L3" s="58">
        <v>2920310</v>
      </c>
      <c r="M3" s="58">
        <v>2840622</v>
      </c>
      <c r="N3" s="60">
        <v>2560713.7999999998</v>
      </c>
      <c r="O3" s="58">
        <v>3024636</v>
      </c>
      <c r="P3" s="58">
        <v>3046766.5</v>
      </c>
      <c r="Q3" s="58">
        <v>2767462</v>
      </c>
    </row>
    <row r="4" spans="1:17" x14ac:dyDescent="0.25">
      <c r="B4" s="64">
        <v>2</v>
      </c>
      <c r="C4" s="56">
        <v>2516594</v>
      </c>
      <c r="D4" s="57">
        <v>671589</v>
      </c>
      <c r="E4" s="60">
        <v>295073</v>
      </c>
      <c r="F4" s="58">
        <v>2453654</v>
      </c>
      <c r="G4" s="58">
        <v>1802718</v>
      </c>
      <c r="H4" s="60">
        <v>1313160.2</v>
      </c>
      <c r="I4" s="58">
        <v>2807671</v>
      </c>
      <c r="J4" s="58">
        <v>2545010.5</v>
      </c>
      <c r="K4" s="60">
        <v>2221798.5</v>
      </c>
      <c r="L4" s="58">
        <v>2750044</v>
      </c>
      <c r="M4" s="58">
        <v>2604215</v>
      </c>
      <c r="N4" s="60">
        <v>2562493.2000000002</v>
      </c>
      <c r="O4" s="58">
        <v>2968258</v>
      </c>
      <c r="P4" s="58">
        <v>2917429</v>
      </c>
      <c r="Q4" s="58">
        <v>2766646.5</v>
      </c>
    </row>
    <row r="5" spans="1:17" x14ac:dyDescent="0.25">
      <c r="B5" s="64">
        <v>3</v>
      </c>
      <c r="C5" s="56">
        <v>2516594</v>
      </c>
      <c r="D5" s="57">
        <v>603573</v>
      </c>
      <c r="E5" s="60">
        <v>312654</v>
      </c>
      <c r="F5" s="58">
        <v>2494426</v>
      </c>
      <c r="G5" s="58">
        <v>1771046</v>
      </c>
      <c r="H5" s="60">
        <v>1347294.8</v>
      </c>
      <c r="I5" s="58">
        <v>2684938</v>
      </c>
      <c r="J5" s="58">
        <v>2435640</v>
      </c>
      <c r="K5" s="60">
        <v>2197518.5</v>
      </c>
      <c r="L5" s="58">
        <v>2618353</v>
      </c>
      <c r="M5" s="58">
        <v>2722852</v>
      </c>
      <c r="N5" s="60">
        <v>2565710.5</v>
      </c>
      <c r="O5" s="58">
        <v>3021813</v>
      </c>
      <c r="P5" s="58">
        <v>3006191.5</v>
      </c>
      <c r="Q5" s="58">
        <v>2775365.5</v>
      </c>
    </row>
    <row r="6" spans="1:17" x14ac:dyDescent="0.25">
      <c r="B6" s="64">
        <v>4</v>
      </c>
      <c r="C6" s="56">
        <v>2239771</v>
      </c>
      <c r="D6" s="57">
        <v>597038</v>
      </c>
      <c r="E6" s="60">
        <v>281858</v>
      </c>
      <c r="F6" s="58">
        <v>2241079</v>
      </c>
      <c r="G6" s="58">
        <v>1721480</v>
      </c>
      <c r="H6" s="60">
        <v>1300268</v>
      </c>
      <c r="I6" s="58">
        <v>2840643</v>
      </c>
      <c r="J6" s="58">
        <v>2503089.5</v>
      </c>
      <c r="K6" s="60">
        <v>2200997.5</v>
      </c>
      <c r="L6" s="58">
        <v>2818196</v>
      </c>
      <c r="M6" s="58">
        <v>2416324.5</v>
      </c>
      <c r="N6" s="60">
        <v>2544383</v>
      </c>
      <c r="O6" s="58">
        <v>3043026</v>
      </c>
      <c r="P6" s="58">
        <v>2962788</v>
      </c>
      <c r="Q6" s="58">
        <v>2786444.2</v>
      </c>
    </row>
    <row r="7" spans="1:17" x14ac:dyDescent="0.25">
      <c r="B7" s="64">
        <v>5</v>
      </c>
      <c r="C7" s="56">
        <v>2480680</v>
      </c>
      <c r="D7" s="57">
        <v>604739</v>
      </c>
      <c r="E7" s="60">
        <v>276390</v>
      </c>
      <c r="F7" s="58">
        <v>2397781</v>
      </c>
      <c r="G7" s="58">
        <v>1803361</v>
      </c>
      <c r="H7" s="60">
        <v>1342010</v>
      </c>
      <c r="I7" s="58">
        <v>2834223</v>
      </c>
      <c r="J7" s="58">
        <v>2581418.5</v>
      </c>
      <c r="K7" s="60">
        <v>2208522.7999999998</v>
      </c>
      <c r="L7" s="58">
        <v>2892091</v>
      </c>
      <c r="M7" s="58">
        <v>2565614</v>
      </c>
      <c r="N7" s="60">
        <v>2574879</v>
      </c>
      <c r="O7" s="58">
        <v>3030470</v>
      </c>
      <c r="P7" s="58">
        <v>2877513.5</v>
      </c>
      <c r="Q7" s="58">
        <v>2761441.2</v>
      </c>
    </row>
    <row r="8" spans="1:17" ht="24" customHeight="1" x14ac:dyDescent="0.4">
      <c r="A8" s="103" t="s">
        <v>80</v>
      </c>
      <c r="B8" s="103"/>
      <c r="C8" s="61">
        <f>AVERAGE(Table14567891023[No. Of Iterations Executed - NR VIs - One Loop])</f>
        <v>2454630.2000000002</v>
      </c>
      <c r="D8" s="59">
        <f>AVERAGE(Table14567891023[No. Of Iterations Executed - NR VIs - Two Loops])</f>
        <v>627780</v>
      </c>
      <c r="E8" s="59">
        <f>AVERAGE(Table14567891023[No. Of Iterations Executed - NR VIs - Four Loops])</f>
        <v>297183</v>
      </c>
      <c r="F8" s="61">
        <f>AVERAGE(Table14567891023[No. Of Iterations Executed - SCR VIs - One Loop])</f>
        <v>2415247.7999999998</v>
      </c>
      <c r="G8" s="59">
        <f>AVERAGE(Table14567891023[No. Of Iterations Executed - SCR VIs - Two Loops])</f>
        <v>1782255.6</v>
      </c>
      <c r="H8" s="59">
        <f>AVERAGE(Table14567891023[No. Of Iterations Executed - SCR VIs - Four Loops])</f>
        <v>1318854.2</v>
      </c>
      <c r="I8" s="61">
        <f>AVERAGE(Table14567891023[No. Of Iterations Executed - PCR VIs - One Loop])</f>
        <v>2799940.6</v>
      </c>
      <c r="J8" s="59">
        <f>AVERAGE(Table14567891023[No. Of Iterations Executed - PCR VIs - Two Loops])</f>
        <v>2570260.4</v>
      </c>
      <c r="K8" s="62">
        <f>AVERAGE(Table14567891023[No. Of Iterations Executed - PCR VIs - Four Loops])</f>
        <v>2203846.46</v>
      </c>
      <c r="L8" s="59">
        <f>AVERAGE(Table14567891023[No. Of Iterations Executed - PCR + SBRTN VIs - One Loop])</f>
        <v>2799798.8</v>
      </c>
      <c r="M8" s="59">
        <f>AVERAGE(Table14567891023[No. Of Iterations Executed - PCR + SBRTN VIs - Two Loops])</f>
        <v>2629925.5</v>
      </c>
      <c r="N8" s="62">
        <f>AVERAGE(Table14567891023[No. Of Iterations Executed - PCR + SBRTN VIs - Four Loops])</f>
        <v>2561635.9</v>
      </c>
      <c r="O8" s="59">
        <f>AVERAGE(Table14567891023[No. Of Iterations Executed - PCR + INLN VIs - One Loop])</f>
        <v>3017640.6</v>
      </c>
      <c r="P8" s="59">
        <f>AVERAGE(Table14567891023[No. Of Iterations Executed - PCR + INLN VIs - Two Loops])</f>
        <v>2962137.7</v>
      </c>
      <c r="Q8" s="59">
        <f>AVERAGE(Table14567891023[No. Of Iterations Executed - PCR + INLN VIs - Four Loops])</f>
        <v>2771471.88</v>
      </c>
    </row>
    <row r="9" spans="1:17" ht="24" x14ac:dyDescent="0.4">
      <c r="B9" s="63"/>
      <c r="C9" s="130" t="s">
        <v>81</v>
      </c>
      <c r="D9" s="130"/>
      <c r="E9" s="131"/>
      <c r="F9" s="132" t="s">
        <v>82</v>
      </c>
      <c r="G9" s="132"/>
      <c r="H9" s="132"/>
      <c r="I9" s="104" t="s">
        <v>83</v>
      </c>
      <c r="J9" s="105"/>
      <c r="K9" s="106"/>
      <c r="L9" s="104" t="s">
        <v>84</v>
      </c>
      <c r="M9" s="105"/>
      <c r="N9" s="106"/>
      <c r="O9" s="104" t="s">
        <v>85</v>
      </c>
      <c r="P9" s="105"/>
      <c r="Q9" s="105"/>
    </row>
    <row r="11" spans="1:17" ht="24" customHeight="1" x14ac:dyDescent="0.4">
      <c r="A11" s="128" t="s">
        <v>86</v>
      </c>
      <c r="B11" s="129"/>
      <c r="C11" s="68">
        <f>AVERAGE(C8:E8)</f>
        <v>1126531.0666666667</v>
      </c>
      <c r="D11" s="126" t="s">
        <v>20</v>
      </c>
      <c r="E11" s="126"/>
      <c r="F11" s="127"/>
    </row>
    <row r="12" spans="1:17" ht="24" x14ac:dyDescent="0.4">
      <c r="A12" s="121" t="s">
        <v>87</v>
      </c>
      <c r="B12" s="103"/>
      <c r="C12" s="65">
        <f>AVERAGE(F8:H8)</f>
        <v>1838785.8666666669</v>
      </c>
      <c r="D12" s="66">
        <f>(C12/$C$11)-1</f>
        <v>0.63225491162664227</v>
      </c>
      <c r="E12" s="67">
        <f>(C12/$C$11)</f>
        <v>1.6322549116266423</v>
      </c>
      <c r="F12" s="124" t="s">
        <v>90</v>
      </c>
    </row>
    <row r="13" spans="1:17" ht="24" x14ac:dyDescent="0.4">
      <c r="A13" s="121" t="s">
        <v>88</v>
      </c>
      <c r="B13" s="103"/>
      <c r="C13" s="65">
        <f>AVERAGE(I8:K8)</f>
        <v>2524682.4866666668</v>
      </c>
      <c r="D13" s="66">
        <f>(C13/$C$11)-1</f>
        <v>1.2411121729088581</v>
      </c>
      <c r="E13" s="67">
        <f t="shared" ref="E13:E15" si="0">(C13/$C$11)</f>
        <v>2.2411121729088581</v>
      </c>
      <c r="F13" s="124"/>
    </row>
    <row r="14" spans="1:17" ht="24" x14ac:dyDescent="0.4">
      <c r="A14" s="121" t="s">
        <v>89</v>
      </c>
      <c r="B14" s="103"/>
      <c r="C14" s="65">
        <f>AVERAGE(L8:N8)</f>
        <v>2663786.7333333329</v>
      </c>
      <c r="D14" s="66">
        <f t="shared" ref="D14:D15" si="1">(C14/$C$11)-1</f>
        <v>1.3645923420605768</v>
      </c>
      <c r="E14" s="67">
        <f t="shared" si="0"/>
        <v>2.3645923420605768</v>
      </c>
      <c r="F14" s="124"/>
    </row>
    <row r="15" spans="1:17" ht="24" x14ac:dyDescent="0.4">
      <c r="A15" s="122" t="s">
        <v>89</v>
      </c>
      <c r="B15" s="123"/>
      <c r="C15" s="69">
        <f>AVERAGE(O8:Q8)</f>
        <v>2917083.3933333331</v>
      </c>
      <c r="D15" s="70">
        <f t="shared" si="1"/>
        <v>1.5894389241876801</v>
      </c>
      <c r="E15" s="71">
        <f t="shared" si="0"/>
        <v>2.5894389241876801</v>
      </c>
      <c r="F15" s="125"/>
    </row>
  </sheetData>
  <mergeCells count="14">
    <mergeCell ref="B1:Q1"/>
    <mergeCell ref="C9:E9"/>
    <mergeCell ref="F9:H9"/>
    <mergeCell ref="I9:K9"/>
    <mergeCell ref="L9:N9"/>
    <mergeCell ref="A8:B8"/>
    <mergeCell ref="O9:Q9"/>
    <mergeCell ref="A14:B14"/>
    <mergeCell ref="A15:B15"/>
    <mergeCell ref="F12:F15"/>
    <mergeCell ref="D11:F11"/>
    <mergeCell ref="A11:B11"/>
    <mergeCell ref="A12:B12"/>
    <mergeCell ref="A13:B13"/>
  </mergeCells>
  <phoneticPr fontId="15" type="noConversion"/>
  <conditionalFormatting sqref="C11:C15">
    <cfRule type="dataBar" priority="2">
      <dataBar>
        <cfvo type="min"/>
        <cfvo type="max"/>
        <color rgb="FF638EC6"/>
      </dataBar>
      <extLst>
        <ext xmlns:x14="http://schemas.microsoft.com/office/spreadsheetml/2009/9/main" uri="{B025F937-C7B1-47D3-B67F-A62EFF666E3E}">
          <x14:id>{60F19AD9-C995-4840-8542-FCA75D7A32B4}</x14:id>
        </ext>
      </extLst>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60F19AD9-C995-4840-8542-FCA75D7A32B4}">
            <x14:dataBar minLength="0" maxLength="100" gradient="0">
              <x14:cfvo type="autoMin"/>
              <x14:cfvo type="autoMax"/>
              <x14:negativeFillColor rgb="FFFF0000"/>
              <x14:axisColor rgb="FF000000"/>
            </x14:dataBar>
          </x14:cfRule>
          <xm:sqref>C11:C15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511A-BDA1-4D43-837E-25833BAC3C4A}">
  <dimension ref="A1:J18"/>
  <sheetViews>
    <sheetView topLeftCell="A11" zoomScale="115" zoomScaleNormal="115" workbookViewId="0">
      <selection activeCell="N32" sqref="N32"/>
    </sheetView>
  </sheetViews>
  <sheetFormatPr defaultColWidth="8.85546875" defaultRowHeight="15" x14ac:dyDescent="0.25"/>
  <cols>
    <col min="1" max="1" width="50.7109375" style="1" customWidth="1"/>
    <col min="2" max="2" width="10.7109375" style="3" customWidth="1"/>
    <col min="3" max="10" width="20.7109375" style="1" customWidth="1"/>
    <col min="11" max="16384" width="8.85546875" style="1"/>
  </cols>
  <sheetData>
    <row r="1" spans="1:10" ht="26.25" customHeight="1" x14ac:dyDescent="0.25">
      <c r="B1" s="108" t="s">
        <v>91</v>
      </c>
      <c r="C1" s="108"/>
      <c r="D1" s="108"/>
      <c r="E1" s="108"/>
      <c r="F1" s="108"/>
      <c r="G1" s="108"/>
      <c r="H1" s="108"/>
      <c r="I1" s="108"/>
      <c r="J1" s="108"/>
    </row>
    <row r="2" spans="1:10" ht="60" x14ac:dyDescent="0.25">
      <c r="B2" s="14" t="s">
        <v>0</v>
      </c>
      <c r="C2" s="2" t="s">
        <v>74</v>
      </c>
      <c r="D2" s="2" t="s">
        <v>75</v>
      </c>
      <c r="E2" s="14" t="s">
        <v>76</v>
      </c>
      <c r="F2" s="2" t="s">
        <v>77</v>
      </c>
      <c r="G2" s="2" t="s">
        <v>78</v>
      </c>
      <c r="H2" s="73" t="s">
        <v>79</v>
      </c>
      <c r="I2" s="73" t="s">
        <v>94</v>
      </c>
      <c r="J2" s="2" t="s">
        <v>95</v>
      </c>
    </row>
    <row r="3" spans="1:10" x14ac:dyDescent="0.25">
      <c r="B3" s="64">
        <v>1</v>
      </c>
      <c r="C3" s="58">
        <v>2921522</v>
      </c>
      <c r="D3" s="58">
        <v>2899873.5</v>
      </c>
      <c r="E3" s="60">
        <v>2671050.5</v>
      </c>
      <c r="F3" s="58">
        <v>3059830</v>
      </c>
      <c r="G3" s="58">
        <v>3046711</v>
      </c>
      <c r="H3" s="74">
        <v>2761482.2</v>
      </c>
      <c r="I3" s="74">
        <v>2671435.7999999998</v>
      </c>
      <c r="J3" s="58">
        <v>2807132.2</v>
      </c>
    </row>
    <row r="4" spans="1:10" x14ac:dyDescent="0.25">
      <c r="B4" s="64">
        <v>2</v>
      </c>
      <c r="C4" s="58">
        <v>2907960</v>
      </c>
      <c r="D4" s="58">
        <v>2907366.5</v>
      </c>
      <c r="E4" s="60">
        <v>2642273.2000000002</v>
      </c>
      <c r="F4" s="58">
        <v>2989816</v>
      </c>
      <c r="G4" s="58">
        <v>3044733.5</v>
      </c>
      <c r="H4" s="74">
        <v>2863444</v>
      </c>
      <c r="I4" s="74">
        <v>2686580.8</v>
      </c>
      <c r="J4" s="58">
        <v>2851979.5</v>
      </c>
    </row>
    <row r="5" spans="1:10" x14ac:dyDescent="0.25">
      <c r="B5" s="64">
        <v>3</v>
      </c>
      <c r="C5" s="58">
        <v>2868757</v>
      </c>
      <c r="D5" s="58">
        <v>2811685</v>
      </c>
      <c r="E5" s="60">
        <v>2686058.8</v>
      </c>
      <c r="F5" s="58">
        <v>3073643</v>
      </c>
      <c r="G5" s="58">
        <v>2945875.5</v>
      </c>
      <c r="H5" s="74">
        <v>2839418.8</v>
      </c>
      <c r="I5" s="74">
        <v>2694690.2</v>
      </c>
      <c r="J5" s="58">
        <v>2805144.5</v>
      </c>
    </row>
    <row r="6" spans="1:10" x14ac:dyDescent="0.25">
      <c r="B6" s="64">
        <v>4</v>
      </c>
      <c r="C6" s="58">
        <v>2907656</v>
      </c>
      <c r="D6" s="58">
        <v>2856627.5</v>
      </c>
      <c r="E6" s="60">
        <v>2671002</v>
      </c>
      <c r="F6" s="58">
        <v>3069427</v>
      </c>
      <c r="G6" s="58">
        <v>3023293</v>
      </c>
      <c r="H6" s="74">
        <v>2820222.5</v>
      </c>
      <c r="I6" s="74">
        <v>2643428.5</v>
      </c>
      <c r="J6" s="58">
        <v>2833177.5</v>
      </c>
    </row>
    <row r="7" spans="1:10" x14ac:dyDescent="0.25">
      <c r="B7" s="64">
        <v>5</v>
      </c>
      <c r="C7" s="58">
        <v>2911904</v>
      </c>
      <c r="D7" s="58">
        <v>2883803.5</v>
      </c>
      <c r="E7" s="60">
        <v>2600095</v>
      </c>
      <c r="F7" s="58">
        <v>3044035</v>
      </c>
      <c r="G7" s="58">
        <v>3044111</v>
      </c>
      <c r="H7" s="74">
        <v>2817586</v>
      </c>
      <c r="I7" s="74">
        <v>2641206.7999999998</v>
      </c>
      <c r="J7" s="58">
        <v>2855805.2</v>
      </c>
    </row>
    <row r="8" spans="1:10" ht="24" customHeight="1" x14ac:dyDescent="0.4">
      <c r="A8" s="103" t="s">
        <v>80</v>
      </c>
      <c r="B8" s="103"/>
      <c r="C8" s="72">
        <f>AVERAGE(Table145678910234[No. Of Iterations Executed - PCR + SBRTN VIs - One Loop])</f>
        <v>2903559.8</v>
      </c>
      <c r="D8" s="59">
        <f>AVERAGE(Table145678910234[No. Of Iterations Executed - PCR + SBRTN VIs - Two Loops])</f>
        <v>2871871.2</v>
      </c>
      <c r="E8" s="62">
        <f>AVERAGE(Table145678910234[No. Of Iterations Executed - PCR + SBRTN VIs - Four Loops])</f>
        <v>2654095.9</v>
      </c>
      <c r="F8" s="59">
        <f>AVERAGE(Table145678910234[No. Of Iterations Executed - PCR + INLN VIs - One Loop])</f>
        <v>3047350.2</v>
      </c>
      <c r="G8" s="59">
        <f>AVERAGE(Table145678910234[No. Of Iterations Executed - PCR + INLN VIs - Two Loops])</f>
        <v>3020944.8</v>
      </c>
      <c r="H8" s="75">
        <f>AVERAGE(Table145678910234[No. Of Iterations Executed - PCR + INLN VIs - Four Loops])</f>
        <v>2820430.7</v>
      </c>
      <c r="I8" s="59">
        <f>AVERAGE(Table145678910234[No. Of Iterations Executed - PCR + SBRTN VIs - Four Loops (EXE)])</f>
        <v>2667468.4200000004</v>
      </c>
      <c r="J8" s="72">
        <f>AVERAGE(Table145678910234[No. Of Iterations Executed - PCR + INLN VIs - Four Loops (EXE)])</f>
        <v>2830647.78</v>
      </c>
    </row>
    <row r="9" spans="1:10" ht="32.25" x14ac:dyDescent="0.4">
      <c r="B9" s="63"/>
      <c r="C9" s="104" t="s">
        <v>84</v>
      </c>
      <c r="D9" s="105"/>
      <c r="E9" s="106"/>
      <c r="F9" s="104" t="s">
        <v>85</v>
      </c>
      <c r="G9" s="105"/>
      <c r="H9" s="107"/>
      <c r="I9" s="76" t="s">
        <v>92</v>
      </c>
      <c r="J9" s="1" t="s">
        <v>93</v>
      </c>
    </row>
    <row r="10" spans="1:10" ht="48" customHeight="1" x14ac:dyDescent="0.25">
      <c r="A10" s="102" t="s">
        <v>96</v>
      </c>
      <c r="B10" s="102"/>
      <c r="C10" s="77">
        <f>(F8/C8)-1</f>
        <v>4.952210731117046E-2</v>
      </c>
    </row>
    <row r="11" spans="1:10" ht="48" customHeight="1" x14ac:dyDescent="0.25">
      <c r="A11" s="102" t="s">
        <v>97</v>
      </c>
      <c r="B11" s="102"/>
      <c r="C11" s="77">
        <f>(G8/D8)-1</f>
        <v>5.1908177497653751E-2</v>
      </c>
    </row>
    <row r="12" spans="1:10" ht="48" customHeight="1" x14ac:dyDescent="0.25">
      <c r="A12" s="102" t="s">
        <v>98</v>
      </c>
      <c r="B12" s="102"/>
      <c r="C12" s="77">
        <f>(H8/E8)-1</f>
        <v>6.2670983365748167E-2</v>
      </c>
    </row>
    <row r="13" spans="1:10" ht="48" customHeight="1" x14ac:dyDescent="0.25">
      <c r="A13" s="102" t="s">
        <v>99</v>
      </c>
      <c r="B13" s="102"/>
      <c r="C13" s="77">
        <f>(J8/I8)-1</f>
        <v>6.1173867617896338E-2</v>
      </c>
    </row>
    <row r="14" spans="1:10" x14ac:dyDescent="0.25">
      <c r="A14" s="9"/>
      <c r="B14" s="9"/>
    </row>
    <row r="15" spans="1:10" x14ac:dyDescent="0.25">
      <c r="A15" s="9"/>
      <c r="B15" s="9"/>
    </row>
    <row r="16" spans="1:10" x14ac:dyDescent="0.25">
      <c r="A16" s="9"/>
      <c r="B16" s="9"/>
    </row>
    <row r="17" spans="1:2" x14ac:dyDescent="0.25">
      <c r="A17" s="9"/>
      <c r="B17" s="9"/>
    </row>
    <row r="18" spans="1:2" x14ac:dyDescent="0.25">
      <c r="A18" s="9"/>
      <c r="B18" s="9"/>
    </row>
  </sheetData>
  <mergeCells count="8">
    <mergeCell ref="A13:B13"/>
    <mergeCell ref="A8:B8"/>
    <mergeCell ref="C9:E9"/>
    <mergeCell ref="F9:H9"/>
    <mergeCell ref="B1:J1"/>
    <mergeCell ref="A10:B10"/>
    <mergeCell ref="A11:B11"/>
    <mergeCell ref="A12:B12"/>
  </mergeCells>
  <phoneticPr fontId="15" type="noConversion"/>
  <pageMargins left="0.7" right="0.7" top="0.75" bottom="0.75" header="0.3" footer="0.3"/>
  <pageSetup paperSize="9"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ABA65-B598-45C7-8729-30328329F373}">
  <dimension ref="A1:G18"/>
  <sheetViews>
    <sheetView zoomScaleNormal="100" workbookViewId="0">
      <selection activeCell="G11" sqref="G11"/>
    </sheetView>
  </sheetViews>
  <sheetFormatPr defaultColWidth="8.85546875" defaultRowHeight="15" x14ac:dyDescent="0.25"/>
  <cols>
    <col min="1" max="1" width="70.7109375" style="1" customWidth="1"/>
    <col min="2" max="2" width="10.7109375" style="3" customWidth="1"/>
    <col min="3" max="4" width="20.7109375" style="1" customWidth="1"/>
    <col min="5" max="16384" width="8.85546875" style="1"/>
  </cols>
  <sheetData>
    <row r="1" spans="1:7" ht="26.25" customHeight="1" x14ac:dyDescent="0.25">
      <c r="B1" s="108" t="s">
        <v>112</v>
      </c>
      <c r="C1" s="108"/>
      <c r="D1" s="108"/>
    </row>
    <row r="2" spans="1:7" ht="75" x14ac:dyDescent="0.25">
      <c r="B2" s="14" t="s">
        <v>0</v>
      </c>
      <c r="C2" s="2" t="s">
        <v>100</v>
      </c>
      <c r="D2" s="2" t="s">
        <v>101</v>
      </c>
    </row>
    <row r="3" spans="1:7" x14ac:dyDescent="0.25">
      <c r="B3" s="64">
        <v>1</v>
      </c>
      <c r="C3" s="78">
        <v>247808</v>
      </c>
      <c r="D3" s="78">
        <v>274432</v>
      </c>
    </row>
    <row r="4" spans="1:7" x14ac:dyDescent="0.25">
      <c r="B4" s="64">
        <v>2</v>
      </c>
      <c r="C4" s="78">
        <v>247808</v>
      </c>
      <c r="D4" s="78">
        <v>274432</v>
      </c>
    </row>
    <row r="5" spans="1:7" x14ac:dyDescent="0.25">
      <c r="B5" s="64">
        <v>3</v>
      </c>
      <c r="C5" s="78">
        <v>247808</v>
      </c>
      <c r="D5" s="78">
        <v>274432</v>
      </c>
    </row>
    <row r="6" spans="1:7" ht="24" customHeight="1" x14ac:dyDescent="0.4">
      <c r="A6" s="103" t="s">
        <v>102</v>
      </c>
      <c r="B6" s="103"/>
      <c r="C6" s="79">
        <f>AVERAGE(Table14567891023411[File Size of "Experiment 12.exe" when using subroutine VIs (bytes)])</f>
        <v>247808</v>
      </c>
      <c r="D6" s="7">
        <f>AVERAGE(Table14567891023411[File Size of "Experiment 12.exe" when using inline VIs (bytes)])</f>
        <v>274432</v>
      </c>
    </row>
    <row r="7" spans="1:7" ht="24" x14ac:dyDescent="0.4">
      <c r="A7" s="103" t="s">
        <v>103</v>
      </c>
      <c r="B7" s="103"/>
      <c r="C7" s="79">
        <f>C6/1024</f>
        <v>242</v>
      </c>
      <c r="D7" s="7">
        <f>D6/1024</f>
        <v>268</v>
      </c>
    </row>
    <row r="8" spans="1:7" ht="24" x14ac:dyDescent="0.4">
      <c r="A8" s="103" t="s">
        <v>104</v>
      </c>
      <c r="B8" s="133"/>
      <c r="C8" s="17" t="s">
        <v>20</v>
      </c>
      <c r="D8" s="7">
        <f>D6-C6</f>
        <v>26624</v>
      </c>
    </row>
    <row r="9" spans="1:7" ht="24" x14ac:dyDescent="0.4">
      <c r="A9" s="103" t="s">
        <v>111</v>
      </c>
      <c r="B9" s="133"/>
      <c r="C9" s="17" t="s">
        <v>20</v>
      </c>
      <c r="D9" s="7">
        <f>D7-C7</f>
        <v>26</v>
      </c>
    </row>
    <row r="10" spans="1:7" ht="24" x14ac:dyDescent="0.4">
      <c r="A10" s="103" t="s">
        <v>108</v>
      </c>
      <c r="B10" s="133"/>
      <c r="C10" s="17" t="s">
        <v>20</v>
      </c>
      <c r="D10" s="80">
        <f>D8/C6</f>
        <v>0.10743801652892562</v>
      </c>
    </row>
    <row r="11" spans="1:7" ht="24" x14ac:dyDescent="0.4">
      <c r="A11" s="103" t="s">
        <v>105</v>
      </c>
      <c r="B11" s="133"/>
      <c r="C11" s="7">
        <v>5</v>
      </c>
      <c r="D11" s="7"/>
    </row>
    <row r="12" spans="1:7" ht="24" x14ac:dyDescent="0.4">
      <c r="A12" s="103" t="s">
        <v>106</v>
      </c>
      <c r="B12" s="103"/>
      <c r="C12" s="82">
        <v>3</v>
      </c>
      <c r="D12" s="7"/>
    </row>
    <row r="13" spans="1:7" ht="24" x14ac:dyDescent="0.4">
      <c r="A13" s="103" t="s">
        <v>107</v>
      </c>
      <c r="B13" s="103"/>
      <c r="C13" s="82">
        <v>10</v>
      </c>
      <c r="D13" s="7"/>
    </row>
    <row r="14" spans="1:7" ht="24.75" thickBot="1" x14ac:dyDescent="0.45">
      <c r="A14" s="103" t="s">
        <v>109</v>
      </c>
      <c r="B14" s="103"/>
      <c r="C14" s="82">
        <f>C11*C12*C13</f>
        <v>150</v>
      </c>
      <c r="D14" s="7"/>
    </row>
    <row r="15" spans="1:7" ht="24.75" thickBot="1" x14ac:dyDescent="0.45">
      <c r="A15" s="103" t="s">
        <v>110</v>
      </c>
      <c r="B15" s="103"/>
      <c r="C15" s="82">
        <f>D8/C14</f>
        <v>177.49333333333334</v>
      </c>
      <c r="D15" s="7"/>
      <c r="G15" s="81"/>
    </row>
    <row r="16" spans="1:7" x14ac:dyDescent="0.25">
      <c r="A16" s="9"/>
      <c r="B16" s="9"/>
    </row>
    <row r="17" spans="1:2" x14ac:dyDescent="0.25">
      <c r="A17" s="9"/>
      <c r="B17" s="9"/>
    </row>
    <row r="18" spans="1:2" x14ac:dyDescent="0.25">
      <c r="A18" s="9"/>
      <c r="B18" s="9"/>
    </row>
  </sheetData>
  <mergeCells count="11">
    <mergeCell ref="B1:D1"/>
    <mergeCell ref="A6:B6"/>
    <mergeCell ref="A15:B15"/>
    <mergeCell ref="A9:B9"/>
    <mergeCell ref="A14:B14"/>
    <mergeCell ref="A7:B7"/>
    <mergeCell ref="A8:B8"/>
    <mergeCell ref="A11:B11"/>
    <mergeCell ref="A12:B12"/>
    <mergeCell ref="A13:B13"/>
    <mergeCell ref="A10:B10"/>
  </mergeCells>
  <pageMargins left="0.7" right="0.7" top="0.75" bottom="0.75" header="0.3" footer="0.3"/>
  <pageSetup paperSize="9" orientation="portrait"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89F3A-17EC-469C-9EAA-3D7DFDC84219}">
  <dimension ref="A1:L43"/>
  <sheetViews>
    <sheetView zoomScaleNormal="100" workbookViewId="0">
      <selection activeCell="C21" sqref="C21"/>
    </sheetView>
  </sheetViews>
  <sheetFormatPr defaultColWidth="8.85546875" defaultRowHeight="15" x14ac:dyDescent="0.25"/>
  <cols>
    <col min="1" max="1" width="70.7109375" style="1" customWidth="1"/>
    <col min="2" max="2" width="10.7109375" style="3" customWidth="1"/>
    <col min="3" max="12" width="15.7109375" style="1" customWidth="1"/>
    <col min="13" max="16384" width="8.85546875" style="1"/>
  </cols>
  <sheetData>
    <row r="1" spans="1:12" ht="26.25" customHeight="1" x14ac:dyDescent="0.25">
      <c r="B1" s="108" t="s">
        <v>133</v>
      </c>
      <c r="C1" s="108"/>
      <c r="D1" s="108"/>
      <c r="E1" s="108"/>
      <c r="F1" s="108"/>
      <c r="G1" s="108"/>
      <c r="H1" s="108"/>
      <c r="I1" s="108"/>
      <c r="J1" s="108"/>
      <c r="K1" s="108"/>
      <c r="L1" s="108"/>
    </row>
    <row r="2" spans="1:12" ht="45" x14ac:dyDescent="0.25">
      <c r="B2" s="14" t="s">
        <v>0</v>
      </c>
      <c r="C2" s="2" t="s">
        <v>113</v>
      </c>
      <c r="D2" s="2" t="s">
        <v>114</v>
      </c>
      <c r="E2" s="2" t="s">
        <v>115</v>
      </c>
      <c r="F2" s="2" t="s">
        <v>116</v>
      </c>
      <c r="G2" s="2" t="s">
        <v>117</v>
      </c>
      <c r="H2" s="2" t="s">
        <v>118</v>
      </c>
      <c r="I2" s="2" t="s">
        <v>119</v>
      </c>
      <c r="J2" s="2" t="s">
        <v>120</v>
      </c>
      <c r="K2" s="2" t="s">
        <v>121</v>
      </c>
      <c r="L2" s="2" t="s">
        <v>122</v>
      </c>
    </row>
    <row r="3" spans="1:12" x14ac:dyDescent="0.25">
      <c r="B3" s="64">
        <v>1</v>
      </c>
      <c r="C3" s="78">
        <v>321034</v>
      </c>
      <c r="D3" s="78">
        <v>333909</v>
      </c>
      <c r="E3" s="78">
        <v>343149</v>
      </c>
      <c r="F3" s="78">
        <v>329195</v>
      </c>
      <c r="G3" s="78">
        <v>278295</v>
      </c>
      <c r="H3" s="78">
        <v>322368</v>
      </c>
      <c r="I3" s="78">
        <v>331302</v>
      </c>
      <c r="J3" s="78">
        <v>299830</v>
      </c>
      <c r="K3" s="78">
        <v>325419</v>
      </c>
      <c r="L3" s="78">
        <v>351392</v>
      </c>
    </row>
    <row r="4" spans="1:12" x14ac:dyDescent="0.25">
      <c r="B4" s="64">
        <v>2</v>
      </c>
      <c r="C4" s="78">
        <v>340260</v>
      </c>
      <c r="D4" s="78">
        <v>315211</v>
      </c>
      <c r="E4" s="78">
        <v>283497</v>
      </c>
      <c r="F4" s="78">
        <v>338195</v>
      </c>
      <c r="G4" s="78">
        <v>298388</v>
      </c>
      <c r="H4" s="78">
        <v>343964</v>
      </c>
      <c r="I4" s="78">
        <v>335369</v>
      </c>
      <c r="J4" s="78">
        <v>327230</v>
      </c>
      <c r="K4" s="78">
        <v>293451</v>
      </c>
      <c r="L4" s="78">
        <v>315213</v>
      </c>
    </row>
    <row r="5" spans="1:12" x14ac:dyDescent="0.25">
      <c r="B5" s="64">
        <v>3</v>
      </c>
      <c r="C5" s="78">
        <v>299273</v>
      </c>
      <c r="D5" s="78">
        <v>281798</v>
      </c>
      <c r="E5" s="78">
        <v>315728</v>
      </c>
      <c r="F5" s="78">
        <v>282783</v>
      </c>
      <c r="G5" s="78">
        <v>261704</v>
      </c>
      <c r="H5" s="78">
        <v>356843</v>
      </c>
      <c r="I5" s="78">
        <v>313580</v>
      </c>
      <c r="J5" s="78">
        <v>360615</v>
      </c>
      <c r="K5" s="78">
        <v>309086</v>
      </c>
      <c r="L5" s="78">
        <v>328574</v>
      </c>
    </row>
    <row r="6" spans="1:12" x14ac:dyDescent="0.25">
      <c r="B6" s="64">
        <v>4</v>
      </c>
      <c r="C6" s="78">
        <v>340869</v>
      </c>
      <c r="D6" s="78">
        <v>351502</v>
      </c>
      <c r="E6" s="78">
        <v>298030</v>
      </c>
      <c r="F6" s="78">
        <v>325886</v>
      </c>
      <c r="G6" s="78">
        <v>277348</v>
      </c>
      <c r="H6" s="78">
        <v>352658</v>
      </c>
      <c r="I6" s="78">
        <v>314572</v>
      </c>
      <c r="J6" s="78">
        <v>326317</v>
      </c>
      <c r="K6" s="78">
        <v>320964</v>
      </c>
      <c r="L6" s="78">
        <v>316550</v>
      </c>
    </row>
    <row r="7" spans="1:12" x14ac:dyDescent="0.25">
      <c r="B7" s="64">
        <v>5</v>
      </c>
      <c r="C7" s="78">
        <v>284746</v>
      </c>
      <c r="D7" s="78">
        <v>322565</v>
      </c>
      <c r="E7" s="78">
        <v>357978</v>
      </c>
      <c r="F7" s="78">
        <v>306215</v>
      </c>
      <c r="G7" s="78">
        <v>258985</v>
      </c>
      <c r="H7" s="78">
        <v>351251</v>
      </c>
      <c r="I7" s="78">
        <v>346493</v>
      </c>
      <c r="J7" s="78">
        <v>306214</v>
      </c>
      <c r="K7" s="78">
        <v>336371</v>
      </c>
      <c r="L7" s="78">
        <v>286490</v>
      </c>
    </row>
    <row r="8" spans="1:12" x14ac:dyDescent="0.25">
      <c r="B8" s="64">
        <v>6</v>
      </c>
      <c r="C8" s="78">
        <v>306618</v>
      </c>
      <c r="D8" s="78">
        <v>287592</v>
      </c>
      <c r="E8" s="78">
        <v>298008</v>
      </c>
      <c r="F8" s="78">
        <v>321659</v>
      </c>
      <c r="G8" s="78">
        <v>284977</v>
      </c>
      <c r="H8" s="78">
        <v>314006</v>
      </c>
      <c r="I8" s="78">
        <v>307891</v>
      </c>
      <c r="J8" s="78">
        <v>360111</v>
      </c>
      <c r="K8" s="78">
        <v>328778</v>
      </c>
      <c r="L8" s="78">
        <v>296003</v>
      </c>
    </row>
    <row r="9" spans="1:12" x14ac:dyDescent="0.25">
      <c r="B9" s="64">
        <v>7</v>
      </c>
      <c r="C9" s="78">
        <v>359847</v>
      </c>
      <c r="D9" s="78">
        <v>313521</v>
      </c>
      <c r="E9" s="78">
        <v>334240</v>
      </c>
      <c r="F9" s="78">
        <v>327935</v>
      </c>
      <c r="G9" s="78">
        <v>271104</v>
      </c>
      <c r="H9" s="78">
        <v>317131</v>
      </c>
      <c r="I9" s="78">
        <v>342668</v>
      </c>
      <c r="J9" s="78">
        <v>318223</v>
      </c>
      <c r="K9" s="78">
        <v>320994</v>
      </c>
      <c r="L9" s="78">
        <v>322622</v>
      </c>
    </row>
    <row r="10" spans="1:12" x14ac:dyDescent="0.25">
      <c r="B10" s="64">
        <v>8</v>
      </c>
      <c r="C10" s="78">
        <v>350140</v>
      </c>
      <c r="D10" s="78">
        <v>292169</v>
      </c>
      <c r="E10" s="78">
        <v>323991</v>
      </c>
      <c r="F10" s="78">
        <v>304954</v>
      </c>
      <c r="G10" s="78">
        <v>324144</v>
      </c>
      <c r="H10" s="78">
        <v>329597</v>
      </c>
      <c r="I10" s="78">
        <v>379275</v>
      </c>
      <c r="J10" s="78">
        <v>331406</v>
      </c>
      <c r="K10" s="78">
        <v>321068</v>
      </c>
      <c r="L10" s="78">
        <v>345853</v>
      </c>
    </row>
    <row r="11" spans="1:12" x14ac:dyDescent="0.25">
      <c r="B11" s="64">
        <v>9</v>
      </c>
      <c r="C11" s="78">
        <v>325490</v>
      </c>
      <c r="D11" s="78">
        <v>318528</v>
      </c>
      <c r="E11" s="78">
        <v>352810</v>
      </c>
      <c r="F11" s="78">
        <v>352060</v>
      </c>
      <c r="G11" s="78">
        <v>332786</v>
      </c>
      <c r="H11" s="78">
        <v>308099</v>
      </c>
      <c r="I11" s="78">
        <v>349039</v>
      </c>
      <c r="J11" s="78">
        <v>343918</v>
      </c>
      <c r="K11" s="78">
        <v>322589</v>
      </c>
      <c r="L11" s="78">
        <v>348974</v>
      </c>
    </row>
    <row r="12" spans="1:12" x14ac:dyDescent="0.25">
      <c r="B12" s="64">
        <v>10</v>
      </c>
      <c r="C12" s="78">
        <v>334493</v>
      </c>
      <c r="D12" s="78">
        <v>333276</v>
      </c>
      <c r="E12" s="78">
        <v>363937</v>
      </c>
      <c r="F12" s="78">
        <v>342661</v>
      </c>
      <c r="G12" s="78">
        <v>288420</v>
      </c>
      <c r="H12" s="78">
        <v>314528</v>
      </c>
      <c r="I12" s="78">
        <v>341067</v>
      </c>
      <c r="J12" s="78">
        <v>341548</v>
      </c>
      <c r="K12" s="78">
        <v>328782</v>
      </c>
      <c r="L12" s="78">
        <v>314765</v>
      </c>
    </row>
    <row r="13" spans="1:12" ht="24" customHeight="1" x14ac:dyDescent="0.4">
      <c r="A13" s="103" t="s">
        <v>123</v>
      </c>
      <c r="B13" s="103"/>
      <c r="C13" s="79">
        <f>AVERAGE(Table1456789102341112[No. Of Iterations Block Of Text - Run 1])</f>
        <v>326277</v>
      </c>
      <c r="D13" s="7">
        <f>AVERAGE(Table1456789102341112[No. Of Iterations Block Of Text - Run 2])</f>
        <v>315007.09999999998</v>
      </c>
      <c r="E13" s="7">
        <f>AVERAGE(Table1456789102341112[No. Of Iterations Block Of Text - Run 3])</f>
        <v>327136.8</v>
      </c>
      <c r="F13" s="7">
        <f>AVERAGE(Table1456789102341112[No. Of Iterations Block Of Text - Run 4])</f>
        <v>323154.3</v>
      </c>
      <c r="G13" s="7">
        <f>AVERAGE(Table1456789102341112[No. Of Iterations Block Of Text - Run 5])</f>
        <v>287615.09999999998</v>
      </c>
      <c r="H13" s="7">
        <f>AVERAGE(Table1456789102341112[No. Of Iterations Block Of Text - Run 6])</f>
        <v>331044.5</v>
      </c>
      <c r="I13" s="7">
        <f>AVERAGE(Table1456789102341112[No. Of Iterations Block Of Text - Run 7])</f>
        <v>336125.6</v>
      </c>
      <c r="J13" s="7">
        <f>AVERAGE(Table1456789102341112[No. Of Iterations Block Of Text - Run 8])</f>
        <v>331541.2</v>
      </c>
      <c r="K13" s="7">
        <f>AVERAGE(Table1456789102341112[No. Of Iterations Block Of Text - Run 9])</f>
        <v>320750.2</v>
      </c>
      <c r="L13" s="7">
        <f>AVERAGE(Table1456789102341112[No. Of Iterations Block Of Text - Run 10])</f>
        <v>322643.59999999998</v>
      </c>
    </row>
    <row r="14" spans="1:12" ht="24" x14ac:dyDescent="0.4">
      <c r="A14" s="103" t="s">
        <v>124</v>
      </c>
      <c r="B14" s="103"/>
      <c r="C14" s="79">
        <f>MIN(Table1456789102341112[No. Of Iterations Block Of Text - Run 1])</f>
        <v>284746</v>
      </c>
      <c r="D14" s="7">
        <f>MIN(Table1456789102341112[No. Of Iterations Block Of Text - Run 2])</f>
        <v>281798</v>
      </c>
      <c r="E14" s="7">
        <f>MIN(Table1456789102341112[No. Of Iterations Block Of Text - Run 3])</f>
        <v>283497</v>
      </c>
      <c r="F14" s="7">
        <f>MIN(Table1456789102341112[No. Of Iterations Block Of Text - Run 4])</f>
        <v>282783</v>
      </c>
      <c r="G14" s="7">
        <f>MIN(Table1456789102341112[No. Of Iterations Block Of Text - Run 5])</f>
        <v>258985</v>
      </c>
      <c r="H14" s="7">
        <f>MIN(Table1456789102341112[No. Of Iterations Block Of Text - Run 6])</f>
        <v>308099</v>
      </c>
      <c r="I14" s="7">
        <f>MIN(Table1456789102341112[No. Of Iterations Block Of Text - Run 7])</f>
        <v>307891</v>
      </c>
      <c r="J14" s="7">
        <f>MIN(Table1456789102341112[No. Of Iterations Block Of Text - Run 8])</f>
        <v>299830</v>
      </c>
      <c r="K14" s="7">
        <f>MIN(Table1456789102341112[No. Of Iterations Block Of Text - Run 9])</f>
        <v>293451</v>
      </c>
      <c r="L14" s="7">
        <f>MIN(Table1456789102341112[No. Of Iterations Block Of Text - Run 10])</f>
        <v>286490</v>
      </c>
    </row>
    <row r="15" spans="1:12" ht="24" x14ac:dyDescent="0.4">
      <c r="A15" s="103" t="s">
        <v>125</v>
      </c>
      <c r="B15" s="133"/>
      <c r="C15" s="79">
        <f>MAX(Table1456789102341112[No. Of Iterations Block Of Text - Run 1])</f>
        <v>359847</v>
      </c>
      <c r="D15" s="7">
        <f>MAX(Table1456789102341112[No. Of Iterations Block Of Text - Run 2])</f>
        <v>351502</v>
      </c>
      <c r="E15" s="7">
        <f>MAX(Table1456789102341112[No. Of Iterations Block Of Text - Run 3])</f>
        <v>363937</v>
      </c>
      <c r="F15" s="7">
        <f>MAX(Table1456789102341112[No. Of Iterations Block Of Text - Run 4])</f>
        <v>352060</v>
      </c>
      <c r="G15" s="7">
        <f>MAX(Table1456789102341112[No. Of Iterations Block Of Text - Run 5])</f>
        <v>332786</v>
      </c>
      <c r="H15" s="7">
        <f>MAX(Table1456789102341112[No. Of Iterations Block Of Text - Run 6])</f>
        <v>356843</v>
      </c>
      <c r="I15" s="7">
        <f>MAX(Table1456789102341112[No. Of Iterations Block Of Text - Run 7])</f>
        <v>379275</v>
      </c>
      <c r="J15" s="7">
        <f>MAX(Table1456789102341112[No. Of Iterations Block Of Text - Run 8])</f>
        <v>360615</v>
      </c>
      <c r="K15" s="7">
        <f>MAX(Table1456789102341112[No. Of Iterations Block Of Text - Run 9])</f>
        <v>336371</v>
      </c>
      <c r="L15" s="7">
        <f>MAX(Table1456789102341112[No. Of Iterations Block Of Text - Run 10])</f>
        <v>351392</v>
      </c>
    </row>
    <row r="16" spans="1:12" ht="24" x14ac:dyDescent="0.4">
      <c r="A16" s="103" t="s">
        <v>126</v>
      </c>
      <c r="B16" s="133"/>
      <c r="C16" s="79">
        <f>C15-C14</f>
        <v>75101</v>
      </c>
      <c r="D16" s="7">
        <f t="shared" ref="D16:L16" si="0">D15-D14</f>
        <v>69704</v>
      </c>
      <c r="E16" s="7">
        <f>E15-E14</f>
        <v>80440</v>
      </c>
      <c r="F16" s="7">
        <f>F15-F14</f>
        <v>69277</v>
      </c>
      <c r="G16" s="7">
        <f t="shared" si="0"/>
        <v>73801</v>
      </c>
      <c r="H16" s="7">
        <f t="shared" si="0"/>
        <v>48744</v>
      </c>
      <c r="I16" s="7">
        <f t="shared" si="0"/>
        <v>71384</v>
      </c>
      <c r="J16" s="7">
        <f t="shared" si="0"/>
        <v>60785</v>
      </c>
      <c r="K16" s="7">
        <f t="shared" si="0"/>
        <v>42920</v>
      </c>
      <c r="L16" s="7">
        <f t="shared" si="0"/>
        <v>64902</v>
      </c>
    </row>
    <row r="17" spans="1:12" ht="24" x14ac:dyDescent="0.4">
      <c r="A17" s="103" t="s">
        <v>127</v>
      </c>
      <c r="B17" s="133"/>
      <c r="C17" s="83">
        <f>C16/C14</f>
        <v>0.26374733973435976</v>
      </c>
      <c r="D17" s="84">
        <f t="shared" ref="D17:L17" si="1">D16/D14</f>
        <v>0.2473544879665576</v>
      </c>
      <c r="E17" s="84">
        <f t="shared" si="1"/>
        <v>0.28374197963294145</v>
      </c>
      <c r="F17" s="84">
        <f t="shared" si="1"/>
        <v>0.24498290208393009</v>
      </c>
      <c r="G17" s="84">
        <f t="shared" si="1"/>
        <v>0.28496244956271599</v>
      </c>
      <c r="H17" s="84">
        <f t="shared" si="1"/>
        <v>0.15820888740307498</v>
      </c>
      <c r="I17" s="84">
        <f t="shared" si="1"/>
        <v>0.23184828397062596</v>
      </c>
      <c r="J17" s="84">
        <f t="shared" si="1"/>
        <v>0.20273154787713038</v>
      </c>
      <c r="K17" s="84">
        <f t="shared" si="1"/>
        <v>0.14625951180946734</v>
      </c>
      <c r="L17" s="84">
        <f t="shared" si="1"/>
        <v>0.22654193863660163</v>
      </c>
    </row>
    <row r="18" spans="1:12" ht="31.5" x14ac:dyDescent="0.5">
      <c r="A18" s="103" t="s">
        <v>128</v>
      </c>
      <c r="B18" s="133"/>
      <c r="C18" s="85">
        <f>MIN(C17:L17)</f>
        <v>0.14625951180946734</v>
      </c>
      <c r="D18" s="7"/>
      <c r="E18" s="7"/>
      <c r="F18" s="7"/>
      <c r="G18" s="7"/>
      <c r="H18" s="7"/>
      <c r="I18" s="7"/>
      <c r="J18" s="7"/>
      <c r="K18" s="7"/>
      <c r="L18" s="7"/>
    </row>
    <row r="19" spans="1:12" ht="31.5" x14ac:dyDescent="0.5">
      <c r="A19" s="103" t="s">
        <v>129</v>
      </c>
      <c r="B19" s="133"/>
      <c r="C19" s="85">
        <f>MAX(C17:L17)</f>
        <v>0.28496244956271599</v>
      </c>
      <c r="D19" s="7"/>
      <c r="E19" s="7"/>
      <c r="F19" s="7"/>
      <c r="G19" s="7"/>
      <c r="H19" s="7"/>
      <c r="I19" s="7"/>
      <c r="J19" s="7"/>
      <c r="K19" s="7"/>
      <c r="L19" s="7"/>
    </row>
    <row r="20" spans="1:12" ht="24" x14ac:dyDescent="0.4">
      <c r="A20" s="103" t="s">
        <v>130</v>
      </c>
      <c r="B20" s="133"/>
      <c r="C20" s="84">
        <f>AVERAGE(C17:L17)</f>
        <v>0.22903793286774046</v>
      </c>
      <c r="D20" s="7"/>
      <c r="E20" s="7"/>
      <c r="F20" s="7"/>
      <c r="G20" s="7"/>
      <c r="H20" s="7"/>
      <c r="I20" s="7"/>
      <c r="J20" s="7"/>
      <c r="K20" s="7"/>
      <c r="L20" s="7"/>
    </row>
    <row r="21" spans="1:12" ht="24" x14ac:dyDescent="0.4">
      <c r="A21" s="103" t="s">
        <v>138</v>
      </c>
      <c r="B21" s="133"/>
      <c r="C21" s="59">
        <f>AVERAGE(C13:L13)</f>
        <v>322129.54000000004</v>
      </c>
    </row>
    <row r="22" spans="1:12" x14ac:dyDescent="0.25">
      <c r="A22" s="9"/>
      <c r="B22" s="9"/>
    </row>
    <row r="23" spans="1:12" ht="26.25" x14ac:dyDescent="0.25">
      <c r="B23" s="108" t="s">
        <v>134</v>
      </c>
      <c r="C23" s="108"/>
      <c r="D23" s="108"/>
      <c r="E23" s="108"/>
      <c r="F23" s="108"/>
      <c r="G23" s="108"/>
      <c r="H23" s="108"/>
      <c r="I23" s="108"/>
      <c r="J23" s="108"/>
      <c r="K23" s="108"/>
      <c r="L23" s="108"/>
    </row>
    <row r="24" spans="1:12" ht="45" x14ac:dyDescent="0.25">
      <c r="B24" s="14" t="s">
        <v>0</v>
      </c>
      <c r="C24" s="2" t="s">
        <v>113</v>
      </c>
      <c r="D24" s="2" t="s">
        <v>114</v>
      </c>
      <c r="E24" s="2" t="s">
        <v>115</v>
      </c>
      <c r="F24" s="2" t="s">
        <v>116</v>
      </c>
      <c r="G24" s="2" t="s">
        <v>117</v>
      </c>
      <c r="H24" s="2" t="s">
        <v>118</v>
      </c>
      <c r="I24" s="2" t="s">
        <v>119</v>
      </c>
      <c r="J24" s="2" t="s">
        <v>120</v>
      </c>
      <c r="K24" s="2" t="s">
        <v>121</v>
      </c>
      <c r="L24" s="2" t="s">
        <v>122</v>
      </c>
    </row>
    <row r="25" spans="1:12" x14ac:dyDescent="0.25">
      <c r="B25" s="64">
        <v>1</v>
      </c>
      <c r="C25" s="78">
        <v>346198</v>
      </c>
      <c r="D25" s="78">
        <v>350676</v>
      </c>
      <c r="E25" s="78">
        <v>368058</v>
      </c>
      <c r="F25" s="78">
        <v>368692</v>
      </c>
      <c r="G25" s="78">
        <v>310634</v>
      </c>
      <c r="H25" s="78">
        <v>350036</v>
      </c>
      <c r="I25" s="78">
        <v>340453</v>
      </c>
      <c r="J25" s="78">
        <v>334691</v>
      </c>
      <c r="K25" s="78">
        <v>329256</v>
      </c>
      <c r="L25" s="78">
        <v>346833</v>
      </c>
    </row>
    <row r="26" spans="1:12" x14ac:dyDescent="0.25">
      <c r="B26" s="64">
        <v>2</v>
      </c>
      <c r="C26" s="78">
        <v>358183</v>
      </c>
      <c r="D26" s="78">
        <v>368940</v>
      </c>
      <c r="E26" s="78">
        <v>341577</v>
      </c>
      <c r="F26" s="78">
        <v>326910</v>
      </c>
      <c r="G26" s="78">
        <v>384460</v>
      </c>
      <c r="H26" s="78">
        <v>355559</v>
      </c>
      <c r="I26" s="78">
        <v>287918</v>
      </c>
      <c r="J26" s="78">
        <v>316965</v>
      </c>
      <c r="K26" s="78">
        <v>351950</v>
      </c>
      <c r="L26" s="78">
        <v>357143</v>
      </c>
    </row>
    <row r="27" spans="1:12" x14ac:dyDescent="0.25">
      <c r="B27" s="64">
        <v>3</v>
      </c>
      <c r="C27" s="78">
        <v>362710</v>
      </c>
      <c r="D27" s="78">
        <v>343214</v>
      </c>
      <c r="E27" s="78">
        <v>341189</v>
      </c>
      <c r="F27" s="78">
        <v>325675</v>
      </c>
      <c r="G27" s="78">
        <v>341051</v>
      </c>
      <c r="H27" s="78">
        <v>330557</v>
      </c>
      <c r="I27" s="78">
        <v>355159</v>
      </c>
      <c r="J27" s="78">
        <v>354602</v>
      </c>
      <c r="K27" s="78">
        <v>352898</v>
      </c>
      <c r="L27" s="78">
        <v>347299</v>
      </c>
    </row>
    <row r="28" spans="1:12" x14ac:dyDescent="0.25">
      <c r="B28" s="64">
        <v>4</v>
      </c>
      <c r="C28" s="78">
        <v>352338</v>
      </c>
      <c r="D28" s="78">
        <v>358751</v>
      </c>
      <c r="E28" s="78">
        <v>371419</v>
      </c>
      <c r="F28" s="78">
        <v>336583</v>
      </c>
      <c r="G28" s="78">
        <v>353230</v>
      </c>
      <c r="H28" s="78">
        <v>365816</v>
      </c>
      <c r="I28" s="78">
        <v>353083</v>
      </c>
      <c r="J28" s="78">
        <v>328661</v>
      </c>
      <c r="K28" s="78">
        <v>356582</v>
      </c>
      <c r="L28" s="78">
        <v>358697</v>
      </c>
    </row>
    <row r="29" spans="1:12" x14ac:dyDescent="0.25">
      <c r="B29" s="64">
        <v>5</v>
      </c>
      <c r="C29" s="78">
        <v>338940</v>
      </c>
      <c r="D29" s="78">
        <v>388675</v>
      </c>
      <c r="E29" s="78">
        <v>389228</v>
      </c>
      <c r="F29" s="78">
        <v>349658</v>
      </c>
      <c r="G29" s="78">
        <v>351159</v>
      </c>
      <c r="H29" s="78">
        <v>362532</v>
      </c>
      <c r="I29" s="78">
        <v>363668</v>
      </c>
      <c r="J29" s="78">
        <v>363108</v>
      </c>
      <c r="K29" s="78">
        <v>384589</v>
      </c>
      <c r="L29" s="78">
        <v>360046</v>
      </c>
    </row>
    <row r="30" spans="1:12" x14ac:dyDescent="0.25">
      <c r="B30" s="64">
        <v>6</v>
      </c>
      <c r="C30" s="78">
        <v>308097</v>
      </c>
      <c r="D30" s="78">
        <v>351028</v>
      </c>
      <c r="E30" s="78">
        <v>356922</v>
      </c>
      <c r="F30" s="78">
        <v>333545</v>
      </c>
      <c r="G30" s="78">
        <v>365832</v>
      </c>
      <c r="H30" s="78">
        <v>381199</v>
      </c>
      <c r="I30" s="78">
        <v>358274</v>
      </c>
      <c r="J30" s="78">
        <v>366776</v>
      </c>
      <c r="K30" s="78">
        <v>370955</v>
      </c>
      <c r="L30" s="78">
        <v>381612</v>
      </c>
    </row>
    <row r="31" spans="1:12" x14ac:dyDescent="0.25">
      <c r="B31" s="64">
        <v>7</v>
      </c>
      <c r="C31" s="78">
        <v>333316</v>
      </c>
      <c r="D31" s="78">
        <v>352568</v>
      </c>
      <c r="E31" s="78">
        <v>390909</v>
      </c>
      <c r="F31" s="78">
        <v>370125</v>
      </c>
      <c r="G31" s="78">
        <v>372786</v>
      </c>
      <c r="H31" s="78">
        <v>359096</v>
      </c>
      <c r="I31" s="78">
        <v>372895</v>
      </c>
      <c r="J31" s="78">
        <v>357183</v>
      </c>
      <c r="K31" s="78">
        <v>355098</v>
      </c>
      <c r="L31" s="78">
        <v>329225</v>
      </c>
    </row>
    <row r="32" spans="1:12" x14ac:dyDescent="0.25">
      <c r="B32" s="64">
        <v>8</v>
      </c>
      <c r="C32" s="78">
        <v>360032</v>
      </c>
      <c r="D32" s="78">
        <v>365103</v>
      </c>
      <c r="E32" s="78">
        <v>377851</v>
      </c>
      <c r="F32" s="78">
        <v>389873</v>
      </c>
      <c r="G32" s="78">
        <v>370531</v>
      </c>
      <c r="H32" s="78">
        <v>327544</v>
      </c>
      <c r="I32" s="78">
        <v>356351</v>
      </c>
      <c r="J32" s="78">
        <v>379764</v>
      </c>
      <c r="K32" s="78">
        <v>332880</v>
      </c>
      <c r="L32" s="78">
        <v>368757</v>
      </c>
    </row>
    <row r="33" spans="1:12" x14ac:dyDescent="0.25">
      <c r="B33" s="64">
        <v>9</v>
      </c>
      <c r="C33" s="78">
        <v>358505</v>
      </c>
      <c r="D33" s="78">
        <v>314058</v>
      </c>
      <c r="E33" s="78">
        <v>283908</v>
      </c>
      <c r="F33" s="78">
        <v>340132</v>
      </c>
      <c r="G33" s="78">
        <v>347979</v>
      </c>
      <c r="H33" s="78">
        <v>361870</v>
      </c>
      <c r="I33" s="78">
        <v>355064</v>
      </c>
      <c r="J33" s="78">
        <v>330701</v>
      </c>
      <c r="K33" s="78">
        <v>343305</v>
      </c>
      <c r="L33" s="78">
        <v>336417</v>
      </c>
    </row>
    <row r="34" spans="1:12" x14ac:dyDescent="0.25">
      <c r="B34" s="64">
        <v>10</v>
      </c>
      <c r="C34" s="78">
        <v>385768</v>
      </c>
      <c r="D34" s="78">
        <v>378125</v>
      </c>
      <c r="E34" s="78">
        <v>383860</v>
      </c>
      <c r="F34" s="78">
        <v>364563</v>
      </c>
      <c r="G34" s="78">
        <v>334262</v>
      </c>
      <c r="H34" s="78">
        <v>358600</v>
      </c>
      <c r="I34" s="78">
        <v>372372</v>
      </c>
      <c r="J34" s="78">
        <v>371570</v>
      </c>
      <c r="K34" s="78">
        <v>282415</v>
      </c>
      <c r="L34" s="78">
        <v>322104</v>
      </c>
    </row>
    <row r="35" spans="1:12" ht="24" x14ac:dyDescent="0.4">
      <c r="A35" s="103" t="s">
        <v>123</v>
      </c>
      <c r="B35" s="103"/>
      <c r="C35" s="79">
        <f>AVERAGE(Table145678910234111213[No. Of Iterations Block Of Text - Run 1])</f>
        <v>350408.7</v>
      </c>
      <c r="D35" s="7">
        <f>AVERAGE(Table145678910234111213[No. Of Iterations Block Of Text - Run 2])</f>
        <v>357113.8</v>
      </c>
      <c r="E35" s="7">
        <f>AVERAGE(Table145678910234111213[No. Of Iterations Block Of Text - Run 3])</f>
        <v>360492.1</v>
      </c>
      <c r="F35" s="7">
        <f>AVERAGE(Table145678910234111213[No. Of Iterations Block Of Text - Run 4])</f>
        <v>350575.6</v>
      </c>
      <c r="G35" s="7">
        <f>AVERAGE(Table145678910234111213[No. Of Iterations Block Of Text - Run 5])</f>
        <v>353192.4</v>
      </c>
      <c r="H35" s="7">
        <f>AVERAGE(Table145678910234111213[No. Of Iterations Block Of Text - Run 6])</f>
        <v>355280.9</v>
      </c>
      <c r="I35" s="7">
        <f>AVERAGE(Table145678910234111213[No. Of Iterations Block Of Text - Run 7])</f>
        <v>351523.7</v>
      </c>
      <c r="J35" s="7">
        <f>AVERAGE(Table145678910234111213[No. Of Iterations Block Of Text - Run 8])</f>
        <v>350402.1</v>
      </c>
      <c r="K35" s="7">
        <f>AVERAGE(Table145678910234111213[No. Of Iterations Block Of Text - Run 9])</f>
        <v>345992.8</v>
      </c>
      <c r="L35" s="7">
        <f>AVERAGE(Table145678910234111213[No. Of Iterations Block Of Text - Run 10])</f>
        <v>350813.3</v>
      </c>
    </row>
    <row r="36" spans="1:12" ht="24" x14ac:dyDescent="0.4">
      <c r="A36" s="103" t="s">
        <v>124</v>
      </c>
      <c r="B36" s="103"/>
      <c r="C36" s="79">
        <f>MIN(Table145678910234111213[No. Of Iterations Block Of Text - Run 1])</f>
        <v>308097</v>
      </c>
      <c r="D36" s="7">
        <f>MIN(Table145678910234111213[No. Of Iterations Block Of Text - Run 2])</f>
        <v>314058</v>
      </c>
      <c r="E36" s="7">
        <f>MIN(Table145678910234111213[No. Of Iterations Block Of Text - Run 3])</f>
        <v>283908</v>
      </c>
      <c r="F36" s="7">
        <f>MIN(Table145678910234111213[No. Of Iterations Block Of Text - Run 4])</f>
        <v>325675</v>
      </c>
      <c r="G36" s="7">
        <f>MIN(Table145678910234111213[No. Of Iterations Block Of Text - Run 5])</f>
        <v>310634</v>
      </c>
      <c r="H36" s="7">
        <f>MIN(Table145678910234111213[No. Of Iterations Block Of Text - Run 6])</f>
        <v>327544</v>
      </c>
      <c r="I36" s="7">
        <f>MIN(Table145678910234111213[No. Of Iterations Block Of Text - Run 7])</f>
        <v>287918</v>
      </c>
      <c r="J36" s="7">
        <f>MIN(Table145678910234111213[No. Of Iterations Block Of Text - Run 8])</f>
        <v>316965</v>
      </c>
      <c r="K36" s="7">
        <f>MIN(Table145678910234111213[No. Of Iterations Block Of Text - Run 9])</f>
        <v>282415</v>
      </c>
      <c r="L36" s="7">
        <f>MIN(Table145678910234111213[No. Of Iterations Block Of Text - Run 10])</f>
        <v>322104</v>
      </c>
    </row>
    <row r="37" spans="1:12" ht="24" x14ac:dyDescent="0.4">
      <c r="A37" s="103" t="s">
        <v>125</v>
      </c>
      <c r="B37" s="133"/>
      <c r="C37" s="79">
        <f>MAX(Table145678910234111213[No. Of Iterations Block Of Text - Run 1])</f>
        <v>385768</v>
      </c>
      <c r="D37" s="7">
        <f>MAX(Table145678910234111213[No. Of Iterations Block Of Text - Run 2])</f>
        <v>388675</v>
      </c>
      <c r="E37" s="7">
        <f>MAX(Table145678910234111213[No. Of Iterations Block Of Text - Run 3])</f>
        <v>390909</v>
      </c>
      <c r="F37" s="7">
        <f>MAX(Table145678910234111213[No. Of Iterations Block Of Text - Run 4])</f>
        <v>389873</v>
      </c>
      <c r="G37" s="7">
        <f>MAX(Table145678910234111213[No. Of Iterations Block Of Text - Run 5])</f>
        <v>384460</v>
      </c>
      <c r="H37" s="7">
        <f>MAX(Table145678910234111213[No. Of Iterations Block Of Text - Run 6])</f>
        <v>381199</v>
      </c>
      <c r="I37" s="7">
        <f>MAX(Table145678910234111213[No. Of Iterations Block Of Text - Run 7])</f>
        <v>372895</v>
      </c>
      <c r="J37" s="7">
        <f>MAX(Table145678910234111213[No. Of Iterations Block Of Text - Run 8])</f>
        <v>379764</v>
      </c>
      <c r="K37" s="7">
        <f>MAX(Table145678910234111213[No. Of Iterations Block Of Text - Run 9])</f>
        <v>384589</v>
      </c>
      <c r="L37" s="7">
        <f>MAX(Table145678910234111213[No. Of Iterations Block Of Text - Run 10])</f>
        <v>381612</v>
      </c>
    </row>
    <row r="38" spans="1:12" ht="24" x14ac:dyDescent="0.4">
      <c r="A38" s="103" t="s">
        <v>126</v>
      </c>
      <c r="B38" s="133"/>
      <c r="C38" s="79">
        <f>C37-C36</f>
        <v>77671</v>
      </c>
      <c r="D38" s="7">
        <f t="shared" ref="D38" si="2">D37-D36</f>
        <v>74617</v>
      </c>
      <c r="E38" s="7">
        <f>E37-E36</f>
        <v>107001</v>
      </c>
      <c r="F38" s="7">
        <f>F37-F36</f>
        <v>64198</v>
      </c>
      <c r="G38" s="7">
        <f t="shared" ref="G38" si="3">G37-G36</f>
        <v>73826</v>
      </c>
      <c r="H38" s="7">
        <f t="shared" ref="H38" si="4">H37-H36</f>
        <v>53655</v>
      </c>
      <c r="I38" s="7">
        <f t="shared" ref="I38" si="5">I37-I36</f>
        <v>84977</v>
      </c>
      <c r="J38" s="7">
        <f t="shared" ref="J38" si="6">J37-J36</f>
        <v>62799</v>
      </c>
      <c r="K38" s="7">
        <f t="shared" ref="K38" si="7">K37-K36</f>
        <v>102174</v>
      </c>
      <c r="L38" s="7">
        <f t="shared" ref="L38" si="8">L37-L36</f>
        <v>59508</v>
      </c>
    </row>
    <row r="39" spans="1:12" ht="24" x14ac:dyDescent="0.4">
      <c r="A39" s="103" t="s">
        <v>127</v>
      </c>
      <c r="B39" s="133"/>
      <c r="C39" s="83">
        <f>C38/C36</f>
        <v>0.25209917655803205</v>
      </c>
      <c r="D39" s="84">
        <f t="shared" ref="D39" si="9">D38/D36</f>
        <v>0.23758987193448344</v>
      </c>
      <c r="E39" s="84">
        <f t="shared" ref="E39" si="10">E38/E36</f>
        <v>0.37688617439452216</v>
      </c>
      <c r="F39" s="84">
        <f t="shared" ref="F39" si="11">F38/F36</f>
        <v>0.1971228985952253</v>
      </c>
      <c r="G39" s="84">
        <f t="shared" ref="G39" si="12">G38/G36</f>
        <v>0.23766232930072045</v>
      </c>
      <c r="H39" s="84">
        <f t="shared" ref="H39" si="13">H38/H36</f>
        <v>0.16381005300051291</v>
      </c>
      <c r="I39" s="84">
        <f t="shared" ref="I39" si="14">I38/I36</f>
        <v>0.29514306156614034</v>
      </c>
      <c r="J39" s="84">
        <f t="shared" ref="J39" si="15">J38/J36</f>
        <v>0.19812597605413848</v>
      </c>
      <c r="K39" s="84">
        <f t="shared" ref="K39" si="16">K38/K36</f>
        <v>0.36178673229113184</v>
      </c>
      <c r="L39" s="84">
        <f t="shared" ref="L39" si="17">L38/L36</f>
        <v>0.18474778332464048</v>
      </c>
    </row>
    <row r="40" spans="1:12" ht="31.5" x14ac:dyDescent="0.5">
      <c r="A40" s="103" t="s">
        <v>128</v>
      </c>
      <c r="B40" s="133"/>
      <c r="C40" s="85">
        <f>MIN(C39:L39)</f>
        <v>0.16381005300051291</v>
      </c>
      <c r="D40" s="7"/>
      <c r="E40" s="7"/>
      <c r="F40" s="7"/>
      <c r="G40" s="7"/>
      <c r="H40" s="7"/>
      <c r="I40" s="7"/>
      <c r="J40" s="7"/>
      <c r="K40" s="7"/>
      <c r="L40" s="7"/>
    </row>
    <row r="41" spans="1:12" ht="31.5" x14ac:dyDescent="0.5">
      <c r="A41" s="103" t="s">
        <v>129</v>
      </c>
      <c r="B41" s="133"/>
      <c r="C41" s="85">
        <f>MAX(C39:L39)</f>
        <v>0.37688617439452216</v>
      </c>
      <c r="D41" s="7"/>
      <c r="E41" s="7"/>
      <c r="F41" s="7"/>
      <c r="G41" s="7"/>
      <c r="H41" s="7"/>
      <c r="I41" s="7"/>
      <c r="J41" s="7"/>
      <c r="K41" s="7"/>
      <c r="L41" s="7"/>
    </row>
    <row r="42" spans="1:12" ht="24" x14ac:dyDescent="0.4">
      <c r="A42" s="103" t="s">
        <v>130</v>
      </c>
      <c r="B42" s="133"/>
      <c r="C42" s="84">
        <f>AVERAGE(C39:L39)</f>
        <v>0.25049740570195478</v>
      </c>
    </row>
    <row r="43" spans="1:12" ht="24" x14ac:dyDescent="0.4">
      <c r="A43" s="103" t="s">
        <v>138</v>
      </c>
      <c r="B43" s="133"/>
      <c r="C43" s="59">
        <f>AVERAGE(C35:L35)</f>
        <v>352579.54</v>
      </c>
    </row>
  </sheetData>
  <mergeCells count="20">
    <mergeCell ref="A20:B20"/>
    <mergeCell ref="A42:B42"/>
    <mergeCell ref="A21:B21"/>
    <mergeCell ref="A43:B43"/>
    <mergeCell ref="B23:L23"/>
    <mergeCell ref="A35:B35"/>
    <mergeCell ref="A36:B36"/>
    <mergeCell ref="A37:B37"/>
    <mergeCell ref="A38:B38"/>
    <mergeCell ref="A39:B39"/>
    <mergeCell ref="A40:B40"/>
    <mergeCell ref="A41:B41"/>
    <mergeCell ref="A18:B18"/>
    <mergeCell ref="A19:B19"/>
    <mergeCell ref="B1:L1"/>
    <mergeCell ref="A13:B13"/>
    <mergeCell ref="A14:B14"/>
    <mergeCell ref="A15:B15"/>
    <mergeCell ref="A16:B16"/>
    <mergeCell ref="A17:B17"/>
  </mergeCells>
  <phoneticPr fontId="15" type="noConversion"/>
  <conditionalFormatting sqref="C3:L12">
    <cfRule type="dataBar" priority="2">
      <dataBar>
        <cfvo type="min"/>
        <cfvo type="max"/>
        <color rgb="FFFFB628"/>
      </dataBar>
      <extLst>
        <ext xmlns:x14="http://schemas.microsoft.com/office/spreadsheetml/2009/9/main" uri="{B025F937-C7B1-47D3-B67F-A62EFF666E3E}">
          <x14:id>{0652D0A8-F305-41E7-8AD1-D8CF65E3218C}</x14:id>
        </ext>
      </extLst>
    </cfRule>
  </conditionalFormatting>
  <conditionalFormatting sqref="C25:L34">
    <cfRule type="dataBar" priority="1">
      <dataBar>
        <cfvo type="min"/>
        <cfvo type="max"/>
        <color rgb="FF638EC6"/>
      </dataBar>
      <extLst>
        <ext xmlns:x14="http://schemas.microsoft.com/office/spreadsheetml/2009/9/main" uri="{B025F937-C7B1-47D3-B67F-A62EFF666E3E}">
          <x14:id>{B624A0EB-5574-4EBF-8C2B-E9AA37AA98EC}</x14:id>
        </ext>
      </extLst>
    </cfRule>
  </conditionalFormatting>
  <pageMargins left="0.7" right="0.7" top="0.75" bottom="0.75" header="0.3" footer="0.3"/>
  <pageSetup paperSize="9" orientation="portrait" r:id="rId1"/>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0652D0A8-F305-41E7-8AD1-D8CF65E3218C}">
            <x14:dataBar minLength="0" maxLength="100" border="1" negativeBarBorderColorSameAsPositive="0">
              <x14:cfvo type="autoMin"/>
              <x14:cfvo type="autoMax"/>
              <x14:borderColor rgb="FFFFB628"/>
              <x14:negativeFillColor rgb="FFFF0000"/>
              <x14:negativeBorderColor rgb="FFFF0000"/>
              <x14:axisColor rgb="FF000000"/>
            </x14:dataBar>
          </x14:cfRule>
          <xm:sqref>C3:L12</xm:sqref>
        </x14:conditionalFormatting>
        <x14:conditionalFormatting xmlns:xm="http://schemas.microsoft.com/office/excel/2006/main">
          <x14:cfRule type="dataBar" id="{B624A0EB-5574-4EBF-8C2B-E9AA37AA98EC}">
            <x14:dataBar minLength="0" maxLength="100" gradient="0">
              <x14:cfvo type="autoMin"/>
              <x14:cfvo type="autoMax"/>
              <x14:negativeFillColor rgb="FFFF0000"/>
              <x14:axisColor rgb="FF000000"/>
            </x14:dataBar>
          </x14:cfRule>
          <xm:sqref>C25:L34</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420F1-791B-4849-AEE0-E6319D71D10D}">
  <dimension ref="A1:L31"/>
  <sheetViews>
    <sheetView zoomScaleNormal="100" workbookViewId="0">
      <selection activeCell="C15" sqref="C15"/>
    </sheetView>
  </sheetViews>
  <sheetFormatPr defaultColWidth="8.85546875" defaultRowHeight="15" x14ac:dyDescent="0.25"/>
  <cols>
    <col min="1" max="1" width="70.7109375" style="1" customWidth="1"/>
    <col min="2" max="2" width="10.7109375" style="3" customWidth="1"/>
    <col min="3" max="12" width="15.7109375" style="1" customWidth="1"/>
    <col min="13" max="16384" width="8.85546875" style="1"/>
  </cols>
  <sheetData>
    <row r="1" spans="1:12" ht="26.25" customHeight="1" x14ac:dyDescent="0.25">
      <c r="B1" s="108" t="s">
        <v>143</v>
      </c>
      <c r="C1" s="108"/>
      <c r="D1" s="108"/>
      <c r="E1" s="108"/>
      <c r="F1" s="108"/>
      <c r="G1" s="108"/>
      <c r="H1" s="108"/>
      <c r="I1" s="108"/>
      <c r="J1" s="108"/>
      <c r="K1" s="108"/>
      <c r="L1" s="108"/>
    </row>
    <row r="2" spans="1:12" ht="45" x14ac:dyDescent="0.25">
      <c r="B2" s="14" t="s">
        <v>0</v>
      </c>
      <c r="C2" s="2" t="s">
        <v>113</v>
      </c>
      <c r="D2" s="2" t="s">
        <v>114</v>
      </c>
      <c r="E2" s="2" t="s">
        <v>115</v>
      </c>
      <c r="F2" s="2" t="s">
        <v>116</v>
      </c>
      <c r="G2" s="2" t="s">
        <v>117</v>
      </c>
      <c r="H2" s="2" t="s">
        <v>118</v>
      </c>
      <c r="I2" s="2" t="s">
        <v>119</v>
      </c>
      <c r="J2" s="2" t="s">
        <v>120</v>
      </c>
      <c r="K2" s="2" t="s">
        <v>121</v>
      </c>
      <c r="L2" s="2" t="s">
        <v>122</v>
      </c>
    </row>
    <row r="3" spans="1:12" x14ac:dyDescent="0.25">
      <c r="B3" s="64">
        <v>1</v>
      </c>
      <c r="C3" s="78">
        <v>524242</v>
      </c>
      <c r="D3" s="78">
        <v>518321</v>
      </c>
      <c r="E3" s="78">
        <v>521272</v>
      </c>
      <c r="F3" s="78">
        <v>519023</v>
      </c>
      <c r="G3" s="78">
        <v>519462</v>
      </c>
      <c r="H3" s="78">
        <v>525795</v>
      </c>
      <c r="I3" s="78">
        <v>526209</v>
      </c>
      <c r="J3" s="78">
        <v>511149</v>
      </c>
      <c r="K3" s="78">
        <v>503591</v>
      </c>
      <c r="L3" s="78">
        <v>532234</v>
      </c>
    </row>
    <row r="4" spans="1:12" x14ac:dyDescent="0.25">
      <c r="B4" s="64">
        <v>2</v>
      </c>
      <c r="C4" s="78">
        <v>534469</v>
      </c>
      <c r="D4" s="78">
        <v>519558</v>
      </c>
      <c r="E4" s="78">
        <v>525659</v>
      </c>
      <c r="F4" s="78">
        <v>514189</v>
      </c>
      <c r="G4" s="78">
        <v>529572</v>
      </c>
      <c r="H4" s="78">
        <v>527506</v>
      </c>
      <c r="I4" s="78">
        <v>521384</v>
      </c>
      <c r="J4" s="78">
        <v>520775</v>
      </c>
      <c r="K4" s="78">
        <v>537787</v>
      </c>
      <c r="L4" s="78">
        <v>526196</v>
      </c>
    </row>
    <row r="5" spans="1:12" x14ac:dyDescent="0.25">
      <c r="B5" s="64">
        <v>3</v>
      </c>
      <c r="C5" s="78">
        <v>516906</v>
      </c>
      <c r="D5" s="78">
        <v>534085</v>
      </c>
      <c r="E5" s="78">
        <v>535203</v>
      </c>
      <c r="F5" s="78">
        <v>529521</v>
      </c>
      <c r="G5" s="78">
        <v>532209</v>
      </c>
      <c r="H5" s="78">
        <v>525251</v>
      </c>
      <c r="I5" s="78">
        <v>526820</v>
      </c>
      <c r="J5" s="78">
        <v>514997</v>
      </c>
      <c r="K5" s="78">
        <v>541155</v>
      </c>
      <c r="L5" s="78">
        <v>526993</v>
      </c>
    </row>
    <row r="6" spans="1:12" x14ac:dyDescent="0.25">
      <c r="B6" s="64">
        <v>4</v>
      </c>
      <c r="C6" s="78">
        <v>514581</v>
      </c>
      <c r="D6" s="78">
        <v>535467</v>
      </c>
      <c r="E6" s="78">
        <v>519300</v>
      </c>
      <c r="F6" s="78">
        <v>511111</v>
      </c>
      <c r="G6" s="78">
        <v>524093</v>
      </c>
      <c r="H6" s="78">
        <v>524537</v>
      </c>
      <c r="I6" s="78">
        <v>522246</v>
      </c>
      <c r="J6" s="78">
        <v>512508</v>
      </c>
      <c r="K6" s="78">
        <v>500735</v>
      </c>
      <c r="L6" s="78">
        <v>523771</v>
      </c>
    </row>
    <row r="7" spans="1:12" ht="24" customHeight="1" x14ac:dyDescent="0.4">
      <c r="A7" s="103" t="s">
        <v>123</v>
      </c>
      <c r="B7" s="103"/>
      <c r="C7" s="79">
        <f>AVERAGE(Table145678910234111214[No. Of Iterations Block Of Text - Run 1])</f>
        <v>522549.5</v>
      </c>
      <c r="D7" s="7">
        <f>AVERAGE(Table145678910234111214[No. Of Iterations Block Of Text - Run 2])</f>
        <v>526857.75</v>
      </c>
      <c r="E7" s="7">
        <f>AVERAGE(Table145678910234111214[No. Of Iterations Block Of Text - Run 3])</f>
        <v>525358.5</v>
      </c>
      <c r="F7" s="7">
        <f>AVERAGE(Table145678910234111214[No. Of Iterations Block Of Text - Run 4])</f>
        <v>518461</v>
      </c>
      <c r="G7" s="7">
        <f>AVERAGE(Table145678910234111214[No. Of Iterations Block Of Text - Run 5])</f>
        <v>526334</v>
      </c>
      <c r="H7" s="7">
        <f>AVERAGE(Table145678910234111214[No. Of Iterations Block Of Text - Run 6])</f>
        <v>525772.25</v>
      </c>
      <c r="I7" s="7">
        <f>AVERAGE(Table145678910234111214[No. Of Iterations Block Of Text - Run 7])</f>
        <v>524164.75</v>
      </c>
      <c r="J7" s="7">
        <f>AVERAGE(Table145678910234111214[No. Of Iterations Block Of Text - Run 8])</f>
        <v>514857.25</v>
      </c>
      <c r="K7" s="7">
        <f>AVERAGE(Table145678910234111214[No. Of Iterations Block Of Text - Run 9])</f>
        <v>520817</v>
      </c>
      <c r="L7" s="7">
        <f>AVERAGE(Table145678910234111214[No. Of Iterations Block Of Text - Run 10])</f>
        <v>527298.5</v>
      </c>
    </row>
    <row r="8" spans="1:12" ht="24" x14ac:dyDescent="0.4">
      <c r="A8" s="103" t="s">
        <v>124</v>
      </c>
      <c r="B8" s="103"/>
      <c r="C8" s="79">
        <f>MIN(Table145678910234111214[No. Of Iterations Block Of Text - Run 1])</f>
        <v>514581</v>
      </c>
      <c r="D8" s="7">
        <f>MIN(Table145678910234111214[No. Of Iterations Block Of Text - Run 2])</f>
        <v>518321</v>
      </c>
      <c r="E8" s="7">
        <f>MIN(Table145678910234111214[No. Of Iterations Block Of Text - Run 3])</f>
        <v>519300</v>
      </c>
      <c r="F8" s="7">
        <f>MIN(Table145678910234111214[No. Of Iterations Block Of Text - Run 4])</f>
        <v>511111</v>
      </c>
      <c r="G8" s="7">
        <f>MIN(Table145678910234111214[No. Of Iterations Block Of Text - Run 5])</f>
        <v>519462</v>
      </c>
      <c r="H8" s="7">
        <f>MIN(Table145678910234111214[No. Of Iterations Block Of Text - Run 6])</f>
        <v>524537</v>
      </c>
      <c r="I8" s="7">
        <f>MIN(Table145678910234111214[No. Of Iterations Block Of Text - Run 7])</f>
        <v>521384</v>
      </c>
      <c r="J8" s="7">
        <f>MIN(Table145678910234111214[No. Of Iterations Block Of Text - Run 8])</f>
        <v>511149</v>
      </c>
      <c r="K8" s="7">
        <f>MIN(Table145678910234111214[No. Of Iterations Block Of Text - Run 9])</f>
        <v>500735</v>
      </c>
      <c r="L8" s="7">
        <f>MIN(Table145678910234111214[No. Of Iterations Block Of Text - Run 10])</f>
        <v>523771</v>
      </c>
    </row>
    <row r="9" spans="1:12" ht="24" x14ac:dyDescent="0.4">
      <c r="A9" s="103" t="s">
        <v>125</v>
      </c>
      <c r="B9" s="133"/>
      <c r="C9" s="79">
        <f>MAX(Table145678910234111214[No. Of Iterations Block Of Text - Run 1])</f>
        <v>534469</v>
      </c>
      <c r="D9" s="7">
        <f>MAX(Table145678910234111214[No. Of Iterations Block Of Text - Run 2])</f>
        <v>535467</v>
      </c>
      <c r="E9" s="7">
        <f>MAX(Table145678910234111214[No. Of Iterations Block Of Text - Run 3])</f>
        <v>535203</v>
      </c>
      <c r="F9" s="7">
        <f>MAX(Table145678910234111214[No. Of Iterations Block Of Text - Run 4])</f>
        <v>529521</v>
      </c>
      <c r="G9" s="7">
        <f>MAX(Table145678910234111214[No. Of Iterations Block Of Text - Run 5])</f>
        <v>532209</v>
      </c>
      <c r="H9" s="7">
        <f>MAX(Table145678910234111214[No. Of Iterations Block Of Text - Run 6])</f>
        <v>527506</v>
      </c>
      <c r="I9" s="7">
        <f>MAX(Table145678910234111214[No. Of Iterations Block Of Text - Run 7])</f>
        <v>526820</v>
      </c>
      <c r="J9" s="7">
        <f>MAX(Table145678910234111214[No. Of Iterations Block Of Text - Run 8])</f>
        <v>520775</v>
      </c>
      <c r="K9" s="7">
        <f>MAX(Table145678910234111214[No. Of Iterations Block Of Text - Run 9])</f>
        <v>541155</v>
      </c>
      <c r="L9" s="7">
        <f>MAX(Table145678910234111214[No. Of Iterations Block Of Text - Run 10])</f>
        <v>532234</v>
      </c>
    </row>
    <row r="10" spans="1:12" ht="24" x14ac:dyDescent="0.4">
      <c r="A10" s="103" t="s">
        <v>126</v>
      </c>
      <c r="B10" s="133"/>
      <c r="C10" s="79">
        <f>C9-C8</f>
        <v>19888</v>
      </c>
      <c r="D10" s="7">
        <f t="shared" ref="D10:L10" si="0">D9-D8</f>
        <v>17146</v>
      </c>
      <c r="E10" s="7">
        <f>E9-E8</f>
        <v>15903</v>
      </c>
      <c r="F10" s="7">
        <f>F9-F8</f>
        <v>18410</v>
      </c>
      <c r="G10" s="7">
        <f t="shared" si="0"/>
        <v>12747</v>
      </c>
      <c r="H10" s="7">
        <f t="shared" si="0"/>
        <v>2969</v>
      </c>
      <c r="I10" s="7">
        <f t="shared" si="0"/>
        <v>5436</v>
      </c>
      <c r="J10" s="7">
        <f t="shared" si="0"/>
        <v>9626</v>
      </c>
      <c r="K10" s="7">
        <f t="shared" si="0"/>
        <v>40420</v>
      </c>
      <c r="L10" s="7">
        <f t="shared" si="0"/>
        <v>8463</v>
      </c>
    </row>
    <row r="11" spans="1:12" ht="24" x14ac:dyDescent="0.4">
      <c r="A11" s="103" t="s">
        <v>127</v>
      </c>
      <c r="B11" s="133"/>
      <c r="C11" s="83">
        <f>C10/C8</f>
        <v>3.8648920189435679E-2</v>
      </c>
      <c r="D11" s="84">
        <f t="shared" ref="D11:L11" si="1">D10/D8</f>
        <v>3.3079886788303002E-2</v>
      </c>
      <c r="E11" s="84">
        <f t="shared" si="1"/>
        <v>3.0623916811091854E-2</v>
      </c>
      <c r="F11" s="84">
        <f t="shared" si="1"/>
        <v>3.6019573047733268E-2</v>
      </c>
      <c r="G11" s="84">
        <f t="shared" si="1"/>
        <v>2.4538849809995725E-2</v>
      </c>
      <c r="H11" s="84">
        <f t="shared" si="1"/>
        <v>5.6602298789217922E-3</v>
      </c>
      <c r="I11" s="84">
        <f t="shared" si="1"/>
        <v>1.0426096696484741E-2</v>
      </c>
      <c r="J11" s="84">
        <f t="shared" si="1"/>
        <v>1.8832082230425963E-2</v>
      </c>
      <c r="K11" s="84">
        <f t="shared" si="1"/>
        <v>8.0721339630742808E-2</v>
      </c>
      <c r="L11" s="84">
        <f t="shared" si="1"/>
        <v>1.6157824698198257E-2</v>
      </c>
    </row>
    <row r="12" spans="1:12" ht="31.5" x14ac:dyDescent="0.5">
      <c r="A12" s="103" t="s">
        <v>128</v>
      </c>
      <c r="B12" s="133"/>
      <c r="C12" s="85">
        <f>MIN(C11:L11)</f>
        <v>5.6602298789217922E-3</v>
      </c>
      <c r="D12" s="7"/>
      <c r="E12" s="7"/>
      <c r="F12" s="7"/>
      <c r="G12" s="7"/>
      <c r="H12" s="7"/>
      <c r="I12" s="7"/>
      <c r="J12" s="7"/>
      <c r="K12" s="7"/>
      <c r="L12" s="7"/>
    </row>
    <row r="13" spans="1:12" ht="31.5" x14ac:dyDescent="0.5">
      <c r="A13" s="103" t="s">
        <v>129</v>
      </c>
      <c r="B13" s="133"/>
      <c r="C13" s="85">
        <f>MAX(C11:L11)</f>
        <v>8.0721339630742808E-2</v>
      </c>
      <c r="D13" s="7"/>
      <c r="E13" s="7"/>
      <c r="F13" s="7"/>
      <c r="G13" s="7"/>
      <c r="H13" s="7"/>
      <c r="I13" s="7"/>
      <c r="J13" s="7"/>
      <c r="K13" s="7"/>
      <c r="L13" s="7"/>
    </row>
    <row r="14" spans="1:12" ht="24" x14ac:dyDescent="0.4">
      <c r="A14" s="103" t="s">
        <v>130</v>
      </c>
      <c r="B14" s="133"/>
      <c r="C14" s="84">
        <f>AVERAGE(C11:L11)</f>
        <v>2.9470871978133313E-2</v>
      </c>
      <c r="D14" s="7"/>
      <c r="E14" s="7"/>
      <c r="F14" s="7"/>
      <c r="G14" s="7"/>
      <c r="H14" s="7"/>
      <c r="I14" s="7"/>
      <c r="J14" s="7"/>
      <c r="K14" s="7"/>
      <c r="L14" s="7"/>
    </row>
    <row r="15" spans="1:12" ht="24" x14ac:dyDescent="0.4">
      <c r="A15" s="103" t="s">
        <v>138</v>
      </c>
      <c r="B15" s="133"/>
      <c r="C15" s="59">
        <f>AVERAGE(C7:L7)</f>
        <v>523247.05</v>
      </c>
    </row>
    <row r="16" spans="1:12" x14ac:dyDescent="0.25">
      <c r="A16" s="9"/>
      <c r="B16" s="9"/>
    </row>
    <row r="17" spans="1:12" ht="26.25" x14ac:dyDescent="0.25">
      <c r="B17" s="108" t="s">
        <v>144</v>
      </c>
      <c r="C17" s="108"/>
      <c r="D17" s="108"/>
      <c r="E17" s="108"/>
      <c r="F17" s="108"/>
      <c r="G17" s="108"/>
      <c r="H17" s="108"/>
      <c r="I17" s="108"/>
      <c r="J17" s="108"/>
      <c r="K17" s="108"/>
      <c r="L17" s="108"/>
    </row>
    <row r="18" spans="1:12" ht="45" x14ac:dyDescent="0.25">
      <c r="B18" s="14" t="s">
        <v>0</v>
      </c>
      <c r="C18" s="2" t="s">
        <v>113</v>
      </c>
      <c r="D18" s="2" t="s">
        <v>114</v>
      </c>
      <c r="E18" s="2" t="s">
        <v>115</v>
      </c>
      <c r="F18" s="2" t="s">
        <v>116</v>
      </c>
      <c r="G18" s="2" t="s">
        <v>117</v>
      </c>
      <c r="H18" s="2" t="s">
        <v>118</v>
      </c>
      <c r="I18" s="2" t="s">
        <v>119</v>
      </c>
      <c r="J18" s="2" t="s">
        <v>120</v>
      </c>
      <c r="K18" s="2" t="s">
        <v>121</v>
      </c>
      <c r="L18" s="2" t="s">
        <v>122</v>
      </c>
    </row>
    <row r="19" spans="1:12" x14ac:dyDescent="0.25">
      <c r="B19" s="64">
        <v>1</v>
      </c>
      <c r="C19" s="78">
        <v>555645</v>
      </c>
      <c r="D19" s="78">
        <v>560051</v>
      </c>
      <c r="E19" s="78">
        <v>557377</v>
      </c>
      <c r="F19" s="78">
        <v>539593</v>
      </c>
      <c r="G19" s="78">
        <v>551734</v>
      </c>
      <c r="H19" s="78">
        <v>538105</v>
      </c>
      <c r="I19" s="78">
        <v>540211</v>
      </c>
      <c r="J19" s="78">
        <v>564497</v>
      </c>
      <c r="K19" s="78">
        <v>555785</v>
      </c>
      <c r="L19" s="78">
        <v>546741</v>
      </c>
    </row>
    <row r="20" spans="1:12" x14ac:dyDescent="0.25">
      <c r="B20" s="64">
        <v>2</v>
      </c>
      <c r="C20" s="78">
        <v>561279</v>
      </c>
      <c r="D20" s="78">
        <v>557112</v>
      </c>
      <c r="E20" s="78">
        <v>550891</v>
      </c>
      <c r="F20" s="78">
        <v>556436</v>
      </c>
      <c r="G20" s="78">
        <v>552803</v>
      </c>
      <c r="H20" s="78">
        <v>564887</v>
      </c>
      <c r="I20" s="78">
        <v>576429</v>
      </c>
      <c r="J20" s="78">
        <v>564362</v>
      </c>
      <c r="K20" s="78">
        <v>552398</v>
      </c>
      <c r="L20" s="78">
        <v>554431</v>
      </c>
    </row>
    <row r="21" spans="1:12" x14ac:dyDescent="0.25">
      <c r="B21" s="64">
        <v>3</v>
      </c>
      <c r="C21" s="78">
        <v>546441</v>
      </c>
      <c r="D21" s="78">
        <v>569611</v>
      </c>
      <c r="E21" s="78">
        <v>559068</v>
      </c>
      <c r="F21" s="78">
        <v>561380</v>
      </c>
      <c r="G21" s="78">
        <v>556153</v>
      </c>
      <c r="H21" s="78">
        <v>564765</v>
      </c>
      <c r="I21" s="78">
        <v>571210</v>
      </c>
      <c r="J21" s="78">
        <v>559730</v>
      </c>
      <c r="K21" s="78">
        <v>550105</v>
      </c>
      <c r="L21" s="78">
        <v>546461</v>
      </c>
    </row>
    <row r="22" spans="1:12" x14ac:dyDescent="0.25">
      <c r="B22" s="64">
        <v>4</v>
      </c>
      <c r="C22" s="78">
        <v>548978</v>
      </c>
      <c r="D22" s="78">
        <v>559142</v>
      </c>
      <c r="E22" s="78">
        <v>553974</v>
      </c>
      <c r="F22" s="78">
        <v>547269</v>
      </c>
      <c r="G22" s="78">
        <v>557372</v>
      </c>
      <c r="H22" s="78">
        <v>551041</v>
      </c>
      <c r="I22" s="78">
        <v>545637</v>
      </c>
      <c r="J22" s="78">
        <v>555855</v>
      </c>
      <c r="K22" s="78">
        <v>555896</v>
      </c>
      <c r="L22" s="78">
        <v>552149</v>
      </c>
    </row>
    <row r="23" spans="1:12" ht="24" x14ac:dyDescent="0.4">
      <c r="A23" s="103" t="s">
        <v>123</v>
      </c>
      <c r="B23" s="103"/>
      <c r="C23" s="79">
        <f>AVERAGE(Table14567891023411121315[No. Of Iterations Block Of Text - Run 1])</f>
        <v>553085.75</v>
      </c>
      <c r="D23" s="7">
        <f>AVERAGE(Table14567891023411121315[No. Of Iterations Block Of Text - Run 2])</f>
        <v>561479</v>
      </c>
      <c r="E23" s="7">
        <f>AVERAGE(Table14567891023411121315[No. Of Iterations Block Of Text - Run 3])</f>
        <v>555327.5</v>
      </c>
      <c r="F23" s="7">
        <f>AVERAGE(Table14567891023411121315[No. Of Iterations Block Of Text - Run 4])</f>
        <v>551169.5</v>
      </c>
      <c r="G23" s="7">
        <f>AVERAGE(Table14567891023411121315[No. Of Iterations Block Of Text - Run 5])</f>
        <v>554515.5</v>
      </c>
      <c r="H23" s="7">
        <f>AVERAGE(Table14567891023411121315[No. Of Iterations Block Of Text - Run 6])</f>
        <v>554699.5</v>
      </c>
      <c r="I23" s="7">
        <f>AVERAGE(Table14567891023411121315[No. Of Iterations Block Of Text - Run 7])</f>
        <v>558371.75</v>
      </c>
      <c r="J23" s="7">
        <f>AVERAGE(Table14567891023411121315[No. Of Iterations Block Of Text - Run 8])</f>
        <v>561111</v>
      </c>
      <c r="K23" s="7">
        <f>AVERAGE(Table14567891023411121315[No. Of Iterations Block Of Text - Run 9])</f>
        <v>553546</v>
      </c>
      <c r="L23" s="7">
        <f>AVERAGE(Table14567891023411121315[No. Of Iterations Block Of Text - Run 10])</f>
        <v>549945.5</v>
      </c>
    </row>
    <row r="24" spans="1:12" ht="24" x14ac:dyDescent="0.4">
      <c r="A24" s="103" t="s">
        <v>124</v>
      </c>
      <c r="B24" s="103"/>
      <c r="C24" s="79">
        <f>MIN(Table14567891023411121315[No. Of Iterations Block Of Text - Run 1])</f>
        <v>546441</v>
      </c>
      <c r="D24" s="7">
        <f>MIN(Table14567891023411121315[No. Of Iterations Block Of Text - Run 2])</f>
        <v>557112</v>
      </c>
      <c r="E24" s="7">
        <f>MIN(Table14567891023411121315[No. Of Iterations Block Of Text - Run 3])</f>
        <v>550891</v>
      </c>
      <c r="F24" s="7">
        <f>MIN(Table14567891023411121315[No. Of Iterations Block Of Text - Run 4])</f>
        <v>539593</v>
      </c>
      <c r="G24" s="7">
        <f>MIN(Table14567891023411121315[No. Of Iterations Block Of Text - Run 5])</f>
        <v>551734</v>
      </c>
      <c r="H24" s="7">
        <f>MIN(Table14567891023411121315[No. Of Iterations Block Of Text - Run 6])</f>
        <v>538105</v>
      </c>
      <c r="I24" s="7">
        <f>MIN(Table14567891023411121315[No. Of Iterations Block Of Text - Run 7])</f>
        <v>540211</v>
      </c>
      <c r="J24" s="7">
        <f>MIN(Table14567891023411121315[No. Of Iterations Block Of Text - Run 8])</f>
        <v>555855</v>
      </c>
      <c r="K24" s="7">
        <f>MIN(Table14567891023411121315[No. Of Iterations Block Of Text - Run 9])</f>
        <v>550105</v>
      </c>
      <c r="L24" s="7">
        <f>MIN(Table14567891023411121315[No. Of Iterations Block Of Text - Run 10])</f>
        <v>546461</v>
      </c>
    </row>
    <row r="25" spans="1:12" ht="24" x14ac:dyDescent="0.4">
      <c r="A25" s="103" t="s">
        <v>125</v>
      </c>
      <c r="B25" s="133"/>
      <c r="C25" s="79">
        <f>MAX(Table14567891023411121315[No. Of Iterations Block Of Text - Run 1])</f>
        <v>561279</v>
      </c>
      <c r="D25" s="7">
        <f>MAX(Table14567891023411121315[No. Of Iterations Block Of Text - Run 2])</f>
        <v>569611</v>
      </c>
      <c r="E25" s="7">
        <f>MAX(Table14567891023411121315[No. Of Iterations Block Of Text - Run 3])</f>
        <v>559068</v>
      </c>
      <c r="F25" s="7">
        <f>MAX(Table14567891023411121315[No. Of Iterations Block Of Text - Run 4])</f>
        <v>561380</v>
      </c>
      <c r="G25" s="7">
        <f>MAX(Table14567891023411121315[No. Of Iterations Block Of Text - Run 5])</f>
        <v>557372</v>
      </c>
      <c r="H25" s="7">
        <f>MAX(Table14567891023411121315[No. Of Iterations Block Of Text - Run 6])</f>
        <v>564887</v>
      </c>
      <c r="I25" s="7">
        <f>MAX(Table14567891023411121315[No. Of Iterations Block Of Text - Run 7])</f>
        <v>576429</v>
      </c>
      <c r="J25" s="7">
        <f>MAX(Table14567891023411121315[No. Of Iterations Block Of Text - Run 8])</f>
        <v>564497</v>
      </c>
      <c r="K25" s="7">
        <f>MAX(Table14567891023411121315[No. Of Iterations Block Of Text - Run 9])</f>
        <v>555896</v>
      </c>
      <c r="L25" s="7">
        <f>MAX(Table14567891023411121315[No. Of Iterations Block Of Text - Run 10])</f>
        <v>554431</v>
      </c>
    </row>
    <row r="26" spans="1:12" ht="24" x14ac:dyDescent="0.4">
      <c r="A26" s="103" t="s">
        <v>126</v>
      </c>
      <c r="B26" s="133"/>
      <c r="C26" s="79">
        <f>C25-C24</f>
        <v>14838</v>
      </c>
      <c r="D26" s="7">
        <f t="shared" ref="D26" si="2">D25-D24</f>
        <v>12499</v>
      </c>
      <c r="E26" s="7">
        <f>E25-E24</f>
        <v>8177</v>
      </c>
      <c r="F26" s="7">
        <f>F25-F24</f>
        <v>21787</v>
      </c>
      <c r="G26" s="7">
        <f t="shared" ref="G26:L26" si="3">G25-G24</f>
        <v>5638</v>
      </c>
      <c r="H26" s="7">
        <f t="shared" si="3"/>
        <v>26782</v>
      </c>
      <c r="I26" s="7">
        <f t="shared" si="3"/>
        <v>36218</v>
      </c>
      <c r="J26" s="7">
        <f t="shared" si="3"/>
        <v>8642</v>
      </c>
      <c r="K26" s="7">
        <f t="shared" si="3"/>
        <v>5791</v>
      </c>
      <c r="L26" s="7">
        <f t="shared" si="3"/>
        <v>7970</v>
      </c>
    </row>
    <row r="27" spans="1:12" ht="24" x14ac:dyDescent="0.4">
      <c r="A27" s="103" t="s">
        <v>127</v>
      </c>
      <c r="B27" s="133"/>
      <c r="C27" s="83">
        <f>C26/C24</f>
        <v>2.7153892185981653E-2</v>
      </c>
      <c r="D27" s="84">
        <f t="shared" ref="D27:L27" si="4">D26/D24</f>
        <v>2.2435345137064001E-2</v>
      </c>
      <c r="E27" s="84">
        <f t="shared" si="4"/>
        <v>1.4843226700018697E-2</v>
      </c>
      <c r="F27" s="84">
        <f t="shared" si="4"/>
        <v>4.0376728386024283E-2</v>
      </c>
      <c r="G27" s="84">
        <f t="shared" si="4"/>
        <v>1.0218692340874407E-2</v>
      </c>
      <c r="H27" s="84">
        <f t="shared" si="4"/>
        <v>4.9770955482666024E-2</v>
      </c>
      <c r="I27" s="84">
        <f t="shared" si="4"/>
        <v>6.7044173480362304E-2</v>
      </c>
      <c r="J27" s="84">
        <f t="shared" si="4"/>
        <v>1.5547220048393916E-2</v>
      </c>
      <c r="K27" s="84">
        <f t="shared" si="4"/>
        <v>1.0527081193590315E-2</v>
      </c>
      <c r="L27" s="84">
        <f t="shared" si="4"/>
        <v>1.458475536223079E-2</v>
      </c>
    </row>
    <row r="28" spans="1:12" ht="31.5" x14ac:dyDescent="0.5">
      <c r="A28" s="103" t="s">
        <v>128</v>
      </c>
      <c r="B28" s="133"/>
      <c r="C28" s="85">
        <f>MIN(C27:L27)</f>
        <v>1.0218692340874407E-2</v>
      </c>
      <c r="D28" s="7"/>
      <c r="E28" s="7"/>
      <c r="F28" s="7"/>
      <c r="G28" s="7"/>
      <c r="H28" s="7"/>
      <c r="I28" s="7"/>
      <c r="J28" s="7"/>
      <c r="K28" s="7"/>
      <c r="L28" s="7"/>
    </row>
    <row r="29" spans="1:12" ht="31.5" x14ac:dyDescent="0.5">
      <c r="A29" s="103" t="s">
        <v>129</v>
      </c>
      <c r="B29" s="133"/>
      <c r="C29" s="85">
        <f>MAX(C27:L27)</f>
        <v>6.7044173480362304E-2</v>
      </c>
      <c r="D29" s="7"/>
      <c r="E29" s="7"/>
      <c r="F29" s="7"/>
      <c r="G29" s="7"/>
      <c r="H29" s="7"/>
      <c r="I29" s="7"/>
      <c r="J29" s="7"/>
      <c r="K29" s="7"/>
      <c r="L29" s="7"/>
    </row>
    <row r="30" spans="1:12" ht="24" x14ac:dyDescent="0.4">
      <c r="A30" s="103" t="s">
        <v>130</v>
      </c>
      <c r="B30" s="133"/>
      <c r="C30" s="84">
        <f>AVERAGE(C27:L27)</f>
        <v>2.7250207031720642E-2</v>
      </c>
    </row>
    <row r="31" spans="1:12" ht="24" x14ac:dyDescent="0.4">
      <c r="A31" s="103" t="s">
        <v>138</v>
      </c>
      <c r="B31" s="133"/>
      <c r="C31" s="59">
        <f>AVERAGE(C23:L23)</f>
        <v>555325.1</v>
      </c>
    </row>
  </sheetData>
  <mergeCells count="20">
    <mergeCell ref="A31:B31"/>
    <mergeCell ref="A25:B25"/>
    <mergeCell ref="A26:B26"/>
    <mergeCell ref="A27:B27"/>
    <mergeCell ref="A28:B28"/>
    <mergeCell ref="A29:B29"/>
    <mergeCell ref="A30:B30"/>
    <mergeCell ref="A24:B24"/>
    <mergeCell ref="A15:B15"/>
    <mergeCell ref="B1:L1"/>
    <mergeCell ref="A7:B7"/>
    <mergeCell ref="A8:B8"/>
    <mergeCell ref="A9:B9"/>
    <mergeCell ref="A10:B10"/>
    <mergeCell ref="A11:B11"/>
    <mergeCell ref="A12:B12"/>
    <mergeCell ref="A13:B13"/>
    <mergeCell ref="A14:B14"/>
    <mergeCell ref="B17:L17"/>
    <mergeCell ref="A23:B23"/>
  </mergeCells>
  <conditionalFormatting sqref="C3:L6">
    <cfRule type="dataBar" priority="3">
      <dataBar>
        <cfvo type="min"/>
        <cfvo type="max"/>
        <color rgb="FFFFB628"/>
      </dataBar>
      <extLst>
        <ext xmlns:x14="http://schemas.microsoft.com/office/spreadsheetml/2009/9/main" uri="{B025F937-C7B1-47D3-B67F-A62EFF666E3E}">
          <x14:id>{813BA1B1-18E9-4BA7-8653-F662966F540D}</x14:id>
        </ext>
      </extLst>
    </cfRule>
  </conditionalFormatting>
  <conditionalFormatting sqref="C19:L22">
    <cfRule type="dataBar" priority="4">
      <dataBar>
        <cfvo type="min"/>
        <cfvo type="max"/>
        <color rgb="FF638EC6"/>
      </dataBar>
      <extLst>
        <ext xmlns:x14="http://schemas.microsoft.com/office/spreadsheetml/2009/9/main" uri="{B025F937-C7B1-47D3-B67F-A62EFF666E3E}">
          <x14:id>{DFC40DCE-7EC2-4237-8682-18C7293A2E30}</x14:id>
        </ext>
      </extLst>
    </cfRule>
  </conditionalFormatting>
  <pageMargins left="0.7" right="0.7" top="0.75" bottom="0.75" header="0.3" footer="0.3"/>
  <pageSetup paperSize="9" orientation="portrait" r:id="rId1"/>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813BA1B1-18E9-4BA7-8653-F662966F540D}">
            <x14:dataBar minLength="0" maxLength="100" border="1" negativeBarBorderColorSameAsPositive="0">
              <x14:cfvo type="autoMin"/>
              <x14:cfvo type="autoMax"/>
              <x14:borderColor rgb="FFFFB628"/>
              <x14:negativeFillColor rgb="FFFF0000"/>
              <x14:negativeBorderColor rgb="FFFF0000"/>
              <x14:axisColor rgb="FF000000"/>
            </x14:dataBar>
          </x14:cfRule>
          <xm:sqref>C3:L6</xm:sqref>
        </x14:conditionalFormatting>
        <x14:conditionalFormatting xmlns:xm="http://schemas.microsoft.com/office/excel/2006/main">
          <x14:cfRule type="dataBar" id="{DFC40DCE-7EC2-4237-8682-18C7293A2E30}">
            <x14:dataBar minLength="0" maxLength="100" gradient="0">
              <x14:cfvo type="autoMin"/>
              <x14:cfvo type="autoMax"/>
              <x14:negativeFillColor rgb="FFFF0000"/>
              <x14:axisColor rgb="FF000000"/>
            </x14:dataBar>
          </x14:cfRule>
          <xm:sqref>C19:L22</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6434E-CB86-4A0E-B4E8-40685B60A925}">
  <dimension ref="A1:L27"/>
  <sheetViews>
    <sheetView zoomScaleNormal="100" workbookViewId="0">
      <selection activeCell="C13" sqref="C13"/>
    </sheetView>
  </sheetViews>
  <sheetFormatPr defaultColWidth="8.85546875" defaultRowHeight="15" x14ac:dyDescent="0.25"/>
  <cols>
    <col min="1" max="1" width="70.7109375" style="1" customWidth="1"/>
    <col min="2" max="2" width="10.7109375" style="3" customWidth="1"/>
    <col min="3" max="12" width="15.7109375" style="1" customWidth="1"/>
    <col min="13" max="16384" width="8.85546875" style="1"/>
  </cols>
  <sheetData>
    <row r="1" spans="1:12" ht="26.25" customHeight="1" x14ac:dyDescent="0.25">
      <c r="B1" s="108" t="s">
        <v>141</v>
      </c>
      <c r="C1" s="108"/>
      <c r="D1" s="108"/>
      <c r="E1" s="108"/>
      <c r="F1" s="108"/>
      <c r="G1" s="108"/>
      <c r="H1" s="108"/>
      <c r="I1" s="108"/>
      <c r="J1" s="108"/>
      <c r="K1" s="108"/>
      <c r="L1" s="108"/>
    </row>
    <row r="2" spans="1:12" ht="45" x14ac:dyDescent="0.25">
      <c r="B2" s="14" t="s">
        <v>0</v>
      </c>
      <c r="C2" s="2" t="s">
        <v>113</v>
      </c>
      <c r="D2" s="2" t="s">
        <v>114</v>
      </c>
      <c r="E2" s="2" t="s">
        <v>115</v>
      </c>
      <c r="F2" s="2" t="s">
        <v>116</v>
      </c>
      <c r="G2" s="2" t="s">
        <v>117</v>
      </c>
      <c r="H2" s="2" t="s">
        <v>118</v>
      </c>
      <c r="I2" s="2" t="s">
        <v>119</v>
      </c>
      <c r="J2" s="2" t="s">
        <v>120</v>
      </c>
      <c r="K2" s="2" t="s">
        <v>121</v>
      </c>
      <c r="L2" s="2" t="s">
        <v>122</v>
      </c>
    </row>
    <row r="3" spans="1:12" x14ac:dyDescent="0.25">
      <c r="B3" s="64">
        <v>1</v>
      </c>
      <c r="C3" s="78">
        <v>562157</v>
      </c>
      <c r="D3" s="78">
        <v>556343</v>
      </c>
      <c r="E3" s="78">
        <v>542911</v>
      </c>
      <c r="F3" s="78">
        <v>548845</v>
      </c>
      <c r="G3" s="78">
        <v>562603</v>
      </c>
      <c r="H3" s="78">
        <v>547132</v>
      </c>
      <c r="I3" s="78">
        <v>561879</v>
      </c>
      <c r="J3" s="78">
        <v>560312</v>
      </c>
      <c r="K3" s="78">
        <v>547556</v>
      </c>
      <c r="L3" s="78">
        <v>543133</v>
      </c>
    </row>
    <row r="4" spans="1:12" x14ac:dyDescent="0.25">
      <c r="B4" s="64">
        <v>2</v>
      </c>
      <c r="C4" s="78">
        <v>562906</v>
      </c>
      <c r="D4" s="78">
        <v>554854</v>
      </c>
      <c r="E4" s="78">
        <v>543743</v>
      </c>
      <c r="F4" s="78">
        <v>547698</v>
      </c>
      <c r="G4" s="78">
        <v>563371</v>
      </c>
      <c r="H4" s="78">
        <v>546198</v>
      </c>
      <c r="I4" s="78">
        <v>560859</v>
      </c>
      <c r="J4" s="78">
        <v>560955</v>
      </c>
      <c r="K4" s="78">
        <v>548612</v>
      </c>
      <c r="L4" s="78">
        <v>542993</v>
      </c>
    </row>
    <row r="5" spans="1:12" ht="24" customHeight="1" x14ac:dyDescent="0.4">
      <c r="A5" s="103" t="s">
        <v>123</v>
      </c>
      <c r="B5" s="103"/>
      <c r="C5" s="79">
        <f>AVERAGE(Table14567891023411121416[No. Of Iterations Block Of Text - Run 1])</f>
        <v>562531.5</v>
      </c>
      <c r="D5" s="7">
        <f>AVERAGE(Table14567891023411121416[No. Of Iterations Block Of Text - Run 2])</f>
        <v>555598.5</v>
      </c>
      <c r="E5" s="7">
        <f>AVERAGE(Table14567891023411121416[No. Of Iterations Block Of Text - Run 3])</f>
        <v>543327</v>
      </c>
      <c r="F5" s="7">
        <f>AVERAGE(Table14567891023411121416[No. Of Iterations Block Of Text - Run 4])</f>
        <v>548271.5</v>
      </c>
      <c r="G5" s="7">
        <f>AVERAGE(Table14567891023411121416[No. Of Iterations Block Of Text - Run 5])</f>
        <v>562987</v>
      </c>
      <c r="H5" s="7">
        <f>AVERAGE(Table14567891023411121416[No. Of Iterations Block Of Text - Run 6])</f>
        <v>546665</v>
      </c>
      <c r="I5" s="7">
        <f>AVERAGE(Table14567891023411121416[No. Of Iterations Block Of Text - Run 7])</f>
        <v>561369</v>
      </c>
      <c r="J5" s="7">
        <f>AVERAGE(Table14567891023411121416[No. Of Iterations Block Of Text - Run 8])</f>
        <v>560633.5</v>
      </c>
      <c r="K5" s="7">
        <f>AVERAGE(Table14567891023411121416[No. Of Iterations Block Of Text - Run 9])</f>
        <v>548084</v>
      </c>
      <c r="L5" s="7">
        <f>AVERAGE(Table14567891023411121416[No. Of Iterations Block Of Text - Run 10])</f>
        <v>543063</v>
      </c>
    </row>
    <row r="6" spans="1:12" ht="24" x14ac:dyDescent="0.4">
      <c r="A6" s="103" t="s">
        <v>124</v>
      </c>
      <c r="B6" s="103"/>
      <c r="C6" s="79">
        <f>MIN(Table14567891023411121416[No. Of Iterations Block Of Text - Run 1])</f>
        <v>562157</v>
      </c>
      <c r="D6" s="7">
        <f>MIN(Table14567891023411121416[No. Of Iterations Block Of Text - Run 2])</f>
        <v>554854</v>
      </c>
      <c r="E6" s="7">
        <f>MIN(Table14567891023411121416[No. Of Iterations Block Of Text - Run 3])</f>
        <v>542911</v>
      </c>
      <c r="F6" s="7">
        <f>MIN(Table14567891023411121416[No. Of Iterations Block Of Text - Run 4])</f>
        <v>547698</v>
      </c>
      <c r="G6" s="7">
        <f>MIN(Table14567891023411121416[No. Of Iterations Block Of Text - Run 5])</f>
        <v>562603</v>
      </c>
      <c r="H6" s="7">
        <f>MIN(Table14567891023411121416[No. Of Iterations Block Of Text - Run 6])</f>
        <v>546198</v>
      </c>
      <c r="I6" s="7">
        <f>MIN(Table14567891023411121416[No. Of Iterations Block Of Text - Run 7])</f>
        <v>560859</v>
      </c>
      <c r="J6" s="7">
        <f>MIN(Table14567891023411121416[No. Of Iterations Block Of Text - Run 8])</f>
        <v>560312</v>
      </c>
      <c r="K6" s="7">
        <f>MIN(Table14567891023411121416[No. Of Iterations Block Of Text - Run 9])</f>
        <v>547556</v>
      </c>
      <c r="L6" s="7">
        <f>MIN(Table14567891023411121416[No. Of Iterations Block Of Text - Run 10])</f>
        <v>542993</v>
      </c>
    </row>
    <row r="7" spans="1:12" ht="24" x14ac:dyDescent="0.4">
      <c r="A7" s="103" t="s">
        <v>125</v>
      </c>
      <c r="B7" s="133"/>
      <c r="C7" s="79">
        <f>MAX(Table14567891023411121416[No. Of Iterations Block Of Text - Run 1])</f>
        <v>562906</v>
      </c>
      <c r="D7" s="7">
        <f>MAX(Table14567891023411121416[No. Of Iterations Block Of Text - Run 2])</f>
        <v>556343</v>
      </c>
      <c r="E7" s="7">
        <f>MAX(Table14567891023411121416[No. Of Iterations Block Of Text - Run 3])</f>
        <v>543743</v>
      </c>
      <c r="F7" s="7">
        <f>MAX(Table14567891023411121416[No. Of Iterations Block Of Text - Run 4])</f>
        <v>548845</v>
      </c>
      <c r="G7" s="7">
        <f>MAX(Table14567891023411121416[No. Of Iterations Block Of Text - Run 5])</f>
        <v>563371</v>
      </c>
      <c r="H7" s="7">
        <f>MAX(Table14567891023411121416[No. Of Iterations Block Of Text - Run 6])</f>
        <v>547132</v>
      </c>
      <c r="I7" s="7">
        <f>MAX(Table14567891023411121416[No. Of Iterations Block Of Text - Run 7])</f>
        <v>561879</v>
      </c>
      <c r="J7" s="7">
        <f>MAX(Table14567891023411121416[No. Of Iterations Block Of Text - Run 8])</f>
        <v>560955</v>
      </c>
      <c r="K7" s="7">
        <f>MAX(Table14567891023411121416[No. Of Iterations Block Of Text - Run 9])</f>
        <v>548612</v>
      </c>
      <c r="L7" s="7">
        <f>MAX(Table14567891023411121416[No. Of Iterations Block Of Text - Run 10])</f>
        <v>543133</v>
      </c>
    </row>
    <row r="8" spans="1:12" ht="24" x14ac:dyDescent="0.4">
      <c r="A8" s="103" t="s">
        <v>126</v>
      </c>
      <c r="B8" s="133"/>
      <c r="C8" s="79">
        <f>C7-C6</f>
        <v>749</v>
      </c>
      <c r="D8" s="7">
        <f t="shared" ref="D8:L8" si="0">D7-D6</f>
        <v>1489</v>
      </c>
      <c r="E8" s="7">
        <f>E7-E6</f>
        <v>832</v>
      </c>
      <c r="F8" s="7">
        <f>F7-F6</f>
        <v>1147</v>
      </c>
      <c r="G8" s="7">
        <f t="shared" si="0"/>
        <v>768</v>
      </c>
      <c r="H8" s="7">
        <f t="shared" si="0"/>
        <v>934</v>
      </c>
      <c r="I8" s="7">
        <f t="shared" si="0"/>
        <v>1020</v>
      </c>
      <c r="J8" s="7">
        <f t="shared" si="0"/>
        <v>643</v>
      </c>
      <c r="K8" s="7">
        <f t="shared" si="0"/>
        <v>1056</v>
      </c>
      <c r="L8" s="7">
        <f t="shared" si="0"/>
        <v>140</v>
      </c>
    </row>
    <row r="9" spans="1:12" ht="24" x14ac:dyDescent="0.4">
      <c r="A9" s="103" t="s">
        <v>127</v>
      </c>
      <c r="B9" s="133"/>
      <c r="C9" s="86">
        <f>C8/C6</f>
        <v>1.3323680039561902E-3</v>
      </c>
      <c r="D9" s="87">
        <f t="shared" ref="D9:L9" si="1">D8/D6</f>
        <v>2.683588835982078E-3</v>
      </c>
      <c r="E9" s="87">
        <f t="shared" si="1"/>
        <v>1.532479540845553E-3</v>
      </c>
      <c r="F9" s="87">
        <f t="shared" si="1"/>
        <v>2.0942198072660479E-3</v>
      </c>
      <c r="G9" s="87">
        <f t="shared" si="1"/>
        <v>1.3650833714004369E-3</v>
      </c>
      <c r="H9" s="87">
        <f t="shared" si="1"/>
        <v>1.7100025997898198E-3</v>
      </c>
      <c r="I9" s="87">
        <f t="shared" si="1"/>
        <v>1.8186389092445694E-3</v>
      </c>
      <c r="J9" s="87">
        <f t="shared" si="1"/>
        <v>1.1475749225431544E-3</v>
      </c>
      <c r="K9" s="87">
        <f t="shared" si="1"/>
        <v>1.9285698631738124E-3</v>
      </c>
      <c r="L9" s="87">
        <f t="shared" si="1"/>
        <v>2.5783021143918985E-4</v>
      </c>
    </row>
    <row r="10" spans="1:12" ht="31.5" x14ac:dyDescent="0.5">
      <c r="A10" s="103" t="s">
        <v>128</v>
      </c>
      <c r="B10" s="133"/>
      <c r="C10" s="88">
        <f>MIN(C9:L9)</f>
        <v>2.5783021143918985E-4</v>
      </c>
      <c r="D10" s="7"/>
      <c r="E10" s="7"/>
      <c r="F10" s="7"/>
      <c r="G10" s="7"/>
      <c r="H10" s="7"/>
      <c r="I10" s="7"/>
      <c r="J10" s="7"/>
      <c r="K10" s="7"/>
      <c r="L10" s="7"/>
    </row>
    <row r="11" spans="1:12" ht="31.5" x14ac:dyDescent="0.5">
      <c r="A11" s="103" t="s">
        <v>129</v>
      </c>
      <c r="B11" s="133"/>
      <c r="C11" s="88">
        <f>MAX(C9:L9)</f>
        <v>2.683588835982078E-3</v>
      </c>
      <c r="D11" s="7"/>
      <c r="E11" s="7"/>
      <c r="F11" s="7"/>
      <c r="G11" s="7"/>
      <c r="H11" s="7"/>
      <c r="I11" s="7"/>
      <c r="J11" s="7"/>
      <c r="K11" s="7"/>
      <c r="L11" s="7"/>
    </row>
    <row r="12" spans="1:12" ht="24" x14ac:dyDescent="0.4">
      <c r="A12" s="103" t="s">
        <v>130</v>
      </c>
      <c r="B12" s="133"/>
      <c r="C12" s="87">
        <f>AVERAGE(C9:L9)</f>
        <v>1.5870356065640853E-3</v>
      </c>
      <c r="D12" s="7"/>
      <c r="E12" s="7"/>
      <c r="F12" s="7"/>
      <c r="G12" s="7"/>
      <c r="H12" s="7"/>
      <c r="I12" s="7"/>
      <c r="J12" s="7"/>
      <c r="K12" s="7"/>
      <c r="L12" s="7"/>
    </row>
    <row r="13" spans="1:12" ht="24" x14ac:dyDescent="0.4">
      <c r="A13" s="103" t="s">
        <v>138</v>
      </c>
      <c r="B13" s="133"/>
      <c r="C13" s="59">
        <f>AVERAGE(C5:L5)</f>
        <v>553253</v>
      </c>
    </row>
    <row r="14" spans="1:12" x14ac:dyDescent="0.25">
      <c r="A14" s="9"/>
      <c r="B14" s="9"/>
    </row>
    <row r="15" spans="1:12" ht="26.25" x14ac:dyDescent="0.25">
      <c r="B15" s="108" t="s">
        <v>142</v>
      </c>
      <c r="C15" s="108"/>
      <c r="D15" s="108"/>
      <c r="E15" s="108"/>
      <c r="F15" s="108"/>
      <c r="G15" s="108"/>
      <c r="H15" s="108"/>
      <c r="I15" s="108"/>
      <c r="J15" s="108"/>
      <c r="K15" s="108"/>
      <c r="L15" s="108"/>
    </row>
    <row r="16" spans="1:12" ht="45" x14ac:dyDescent="0.25">
      <c r="B16" s="14" t="s">
        <v>0</v>
      </c>
      <c r="C16" s="2" t="s">
        <v>113</v>
      </c>
      <c r="D16" s="2" t="s">
        <v>114</v>
      </c>
      <c r="E16" s="2" t="s">
        <v>115</v>
      </c>
      <c r="F16" s="2" t="s">
        <v>116</v>
      </c>
      <c r="G16" s="2" t="s">
        <v>117</v>
      </c>
      <c r="H16" s="2" t="s">
        <v>118</v>
      </c>
      <c r="I16" s="2" t="s">
        <v>119</v>
      </c>
      <c r="J16" s="2" t="s">
        <v>120</v>
      </c>
      <c r="K16" s="2" t="s">
        <v>121</v>
      </c>
      <c r="L16" s="2" t="s">
        <v>122</v>
      </c>
    </row>
    <row r="17" spans="1:12" x14ac:dyDescent="0.25">
      <c r="B17" s="64">
        <v>1</v>
      </c>
      <c r="C17" s="78">
        <v>606067</v>
      </c>
      <c r="D17" s="78">
        <v>592625</v>
      </c>
      <c r="E17" s="78">
        <v>596002</v>
      </c>
      <c r="F17" s="78">
        <v>601597</v>
      </c>
      <c r="G17" s="78">
        <v>605906</v>
      </c>
      <c r="H17" s="78">
        <v>606069</v>
      </c>
      <c r="I17" s="78">
        <v>596723</v>
      </c>
      <c r="J17" s="78">
        <v>581068</v>
      </c>
      <c r="K17" s="78">
        <v>602175</v>
      </c>
      <c r="L17" s="78">
        <v>606850</v>
      </c>
    </row>
    <row r="18" spans="1:12" x14ac:dyDescent="0.25">
      <c r="B18" s="64">
        <v>2</v>
      </c>
      <c r="C18" s="78">
        <v>604263</v>
      </c>
      <c r="D18" s="78">
        <v>593189</v>
      </c>
      <c r="E18" s="78">
        <v>593468</v>
      </c>
      <c r="F18" s="78">
        <v>600859</v>
      </c>
      <c r="G18" s="78">
        <v>604983</v>
      </c>
      <c r="H18" s="78">
        <v>604973</v>
      </c>
      <c r="I18" s="78">
        <v>597276</v>
      </c>
      <c r="J18" s="78">
        <v>579890</v>
      </c>
      <c r="K18" s="78">
        <v>600119</v>
      </c>
      <c r="L18" s="78">
        <v>606724</v>
      </c>
    </row>
    <row r="19" spans="1:12" ht="24" x14ac:dyDescent="0.4">
      <c r="A19" s="103" t="s">
        <v>123</v>
      </c>
      <c r="B19" s="103"/>
      <c r="C19" s="79">
        <f>AVERAGE(Table1456789102341112131517[No. Of Iterations Block Of Text - Run 1])</f>
        <v>605165</v>
      </c>
      <c r="D19" s="7">
        <f>AVERAGE(Table1456789102341112131517[No. Of Iterations Block Of Text - Run 2])</f>
        <v>592907</v>
      </c>
      <c r="E19" s="7">
        <f>AVERAGE(Table1456789102341112131517[No. Of Iterations Block Of Text - Run 3])</f>
        <v>594735</v>
      </c>
      <c r="F19" s="7">
        <f>AVERAGE(Table1456789102341112131517[No. Of Iterations Block Of Text - Run 4])</f>
        <v>601228</v>
      </c>
      <c r="G19" s="7">
        <f>AVERAGE(Table1456789102341112131517[No. Of Iterations Block Of Text - Run 5])</f>
        <v>605444.5</v>
      </c>
      <c r="H19" s="7">
        <f>AVERAGE(Table1456789102341112131517[No. Of Iterations Block Of Text - Run 6])</f>
        <v>605521</v>
      </c>
      <c r="I19" s="7">
        <f>AVERAGE(Table1456789102341112131517[No. Of Iterations Block Of Text - Run 7])</f>
        <v>596999.5</v>
      </c>
      <c r="J19" s="7">
        <f>AVERAGE(Table1456789102341112131517[No. Of Iterations Block Of Text - Run 8])</f>
        <v>580479</v>
      </c>
      <c r="K19" s="7">
        <f>AVERAGE(Table1456789102341112131517[No. Of Iterations Block Of Text - Run 9])</f>
        <v>601147</v>
      </c>
      <c r="L19" s="7">
        <f>AVERAGE(Table1456789102341112131517[No. Of Iterations Block Of Text - Run 10])</f>
        <v>606787</v>
      </c>
    </row>
    <row r="20" spans="1:12" ht="24" x14ac:dyDescent="0.4">
      <c r="A20" s="103" t="s">
        <v>124</v>
      </c>
      <c r="B20" s="103"/>
      <c r="C20" s="79">
        <f>MIN(Table1456789102341112131517[No. Of Iterations Block Of Text - Run 1])</f>
        <v>604263</v>
      </c>
      <c r="D20" s="7">
        <f>MIN(Table1456789102341112131517[No. Of Iterations Block Of Text - Run 2])</f>
        <v>592625</v>
      </c>
      <c r="E20" s="7">
        <f>MIN(Table1456789102341112131517[No. Of Iterations Block Of Text - Run 3])</f>
        <v>593468</v>
      </c>
      <c r="F20" s="7">
        <f>MIN(Table1456789102341112131517[No. Of Iterations Block Of Text - Run 4])</f>
        <v>600859</v>
      </c>
      <c r="G20" s="7">
        <f>MIN(Table1456789102341112131517[No. Of Iterations Block Of Text - Run 5])</f>
        <v>604983</v>
      </c>
      <c r="H20" s="7">
        <f>MIN(Table1456789102341112131517[No. Of Iterations Block Of Text - Run 6])</f>
        <v>604973</v>
      </c>
      <c r="I20" s="7">
        <f>MIN(Table1456789102341112131517[No. Of Iterations Block Of Text - Run 7])</f>
        <v>596723</v>
      </c>
      <c r="J20" s="7">
        <f>MIN(Table1456789102341112131517[No. Of Iterations Block Of Text - Run 8])</f>
        <v>579890</v>
      </c>
      <c r="K20" s="7">
        <f>MIN(Table1456789102341112131517[No. Of Iterations Block Of Text - Run 9])</f>
        <v>600119</v>
      </c>
      <c r="L20" s="7">
        <f>MIN(Table1456789102341112131517[No. Of Iterations Block Of Text - Run 10])</f>
        <v>606724</v>
      </c>
    </row>
    <row r="21" spans="1:12" ht="24" x14ac:dyDescent="0.4">
      <c r="A21" s="103" t="s">
        <v>125</v>
      </c>
      <c r="B21" s="133"/>
      <c r="C21" s="79">
        <f>MAX(Table1456789102341112131517[No. Of Iterations Block Of Text - Run 1])</f>
        <v>606067</v>
      </c>
      <c r="D21" s="7">
        <f>MAX(Table1456789102341112131517[No. Of Iterations Block Of Text - Run 2])</f>
        <v>593189</v>
      </c>
      <c r="E21" s="7">
        <f>MAX(Table1456789102341112131517[No. Of Iterations Block Of Text - Run 3])</f>
        <v>596002</v>
      </c>
      <c r="F21" s="7">
        <f>MAX(Table1456789102341112131517[No. Of Iterations Block Of Text - Run 4])</f>
        <v>601597</v>
      </c>
      <c r="G21" s="7">
        <f>MAX(Table1456789102341112131517[No. Of Iterations Block Of Text - Run 5])</f>
        <v>605906</v>
      </c>
      <c r="H21" s="7">
        <f>MAX(Table1456789102341112131517[No. Of Iterations Block Of Text - Run 6])</f>
        <v>606069</v>
      </c>
      <c r="I21" s="7">
        <f>MAX(Table1456789102341112131517[No. Of Iterations Block Of Text - Run 7])</f>
        <v>597276</v>
      </c>
      <c r="J21" s="7">
        <f>MAX(Table1456789102341112131517[No. Of Iterations Block Of Text - Run 8])</f>
        <v>581068</v>
      </c>
      <c r="K21" s="7">
        <f>MAX(Table1456789102341112131517[No. Of Iterations Block Of Text - Run 9])</f>
        <v>602175</v>
      </c>
      <c r="L21" s="7">
        <f>MAX(Table1456789102341112131517[No. Of Iterations Block Of Text - Run 10])</f>
        <v>606850</v>
      </c>
    </row>
    <row r="22" spans="1:12" ht="24" x14ac:dyDescent="0.4">
      <c r="A22" s="103" t="s">
        <v>126</v>
      </c>
      <c r="B22" s="133"/>
      <c r="C22" s="79">
        <f>C21-C20</f>
        <v>1804</v>
      </c>
      <c r="D22" s="7">
        <f t="shared" ref="D22" si="2">D21-D20</f>
        <v>564</v>
      </c>
      <c r="E22" s="7">
        <f>E21-E20</f>
        <v>2534</v>
      </c>
      <c r="F22" s="7">
        <f>F21-F20</f>
        <v>738</v>
      </c>
      <c r="G22" s="7">
        <f t="shared" ref="G22:L22" si="3">G21-G20</f>
        <v>923</v>
      </c>
      <c r="H22" s="7">
        <f t="shared" si="3"/>
        <v>1096</v>
      </c>
      <c r="I22" s="7">
        <f t="shared" si="3"/>
        <v>553</v>
      </c>
      <c r="J22" s="7">
        <f t="shared" si="3"/>
        <v>1178</v>
      </c>
      <c r="K22" s="7">
        <f t="shared" si="3"/>
        <v>2056</v>
      </c>
      <c r="L22" s="7">
        <f t="shared" si="3"/>
        <v>126</v>
      </c>
    </row>
    <row r="23" spans="1:12" ht="24" x14ac:dyDescent="0.4">
      <c r="A23" s="103" t="s">
        <v>127</v>
      </c>
      <c r="B23" s="133"/>
      <c r="C23" s="86">
        <f>C22/C20</f>
        <v>2.9854550088289369E-3</v>
      </c>
      <c r="D23" s="87">
        <f t="shared" ref="D23:L23" si="4">D22/D20</f>
        <v>9.516979540181396E-4</v>
      </c>
      <c r="E23" s="87">
        <f t="shared" si="4"/>
        <v>4.2698174122277862E-3</v>
      </c>
      <c r="F23" s="87">
        <f t="shared" si="4"/>
        <v>1.2282415674892114E-3</v>
      </c>
      <c r="G23" s="87">
        <f t="shared" si="4"/>
        <v>1.5256627045718641E-3</v>
      </c>
      <c r="H23" s="87">
        <f t="shared" si="4"/>
        <v>1.8116510984787751E-3</v>
      </c>
      <c r="I23" s="87">
        <f t="shared" si="4"/>
        <v>9.2672814689562829E-4</v>
      </c>
      <c r="J23" s="87">
        <f t="shared" si="4"/>
        <v>2.0314197520219352E-3</v>
      </c>
      <c r="K23" s="87">
        <f t="shared" si="4"/>
        <v>3.4259871792094569E-3</v>
      </c>
      <c r="L23" s="87">
        <f t="shared" si="4"/>
        <v>2.0767268148284888E-4</v>
      </c>
    </row>
    <row r="24" spans="1:12" ht="31.5" x14ac:dyDescent="0.5">
      <c r="A24" s="103" t="s">
        <v>128</v>
      </c>
      <c r="B24" s="133"/>
      <c r="C24" s="88">
        <f>MIN(C23:L23)</f>
        <v>2.0767268148284888E-4</v>
      </c>
      <c r="D24" s="7"/>
      <c r="E24" s="7"/>
      <c r="F24" s="7"/>
      <c r="G24" s="7"/>
      <c r="H24" s="7"/>
      <c r="I24" s="7"/>
      <c r="J24" s="7"/>
      <c r="K24" s="7"/>
      <c r="L24" s="7"/>
    </row>
    <row r="25" spans="1:12" ht="31.5" x14ac:dyDescent="0.5">
      <c r="A25" s="103" t="s">
        <v>129</v>
      </c>
      <c r="B25" s="133"/>
      <c r="C25" s="88">
        <f>MAX(C23:L23)</f>
        <v>4.2698174122277862E-3</v>
      </c>
      <c r="D25" s="7"/>
      <c r="E25" s="7"/>
      <c r="F25" s="7"/>
      <c r="G25" s="7"/>
      <c r="H25" s="7"/>
      <c r="I25" s="7"/>
      <c r="J25" s="7"/>
      <c r="K25" s="7"/>
      <c r="L25" s="7"/>
    </row>
    <row r="26" spans="1:12" ht="24" x14ac:dyDescent="0.4">
      <c r="A26" s="103" t="s">
        <v>130</v>
      </c>
      <c r="B26" s="133"/>
      <c r="C26" s="87">
        <f>AVERAGE(C23:L23)</f>
        <v>1.9364333505224583E-3</v>
      </c>
    </row>
    <row r="27" spans="1:12" ht="24" x14ac:dyDescent="0.4">
      <c r="A27" s="103" t="s">
        <v>138</v>
      </c>
      <c r="B27" s="133"/>
      <c r="C27" s="59">
        <f>AVERAGE(C19:L19)</f>
        <v>599041.30000000005</v>
      </c>
    </row>
  </sheetData>
  <mergeCells count="20">
    <mergeCell ref="A27:B27"/>
    <mergeCell ref="A21:B21"/>
    <mergeCell ref="A22:B22"/>
    <mergeCell ref="A23:B23"/>
    <mergeCell ref="A24:B24"/>
    <mergeCell ref="A25:B25"/>
    <mergeCell ref="A26:B26"/>
    <mergeCell ref="A20:B20"/>
    <mergeCell ref="A13:B13"/>
    <mergeCell ref="B1:L1"/>
    <mergeCell ref="A5:B5"/>
    <mergeCell ref="A6:B6"/>
    <mergeCell ref="A7:B7"/>
    <mergeCell ref="A8:B8"/>
    <mergeCell ref="A9:B9"/>
    <mergeCell ref="A10:B10"/>
    <mergeCell ref="A11:B11"/>
    <mergeCell ref="A12:B12"/>
    <mergeCell ref="B15:L15"/>
    <mergeCell ref="A19:B19"/>
  </mergeCells>
  <conditionalFormatting sqref="C3:L4">
    <cfRule type="dataBar" priority="5">
      <dataBar>
        <cfvo type="min"/>
        <cfvo type="max"/>
        <color rgb="FFFFB628"/>
      </dataBar>
      <extLst>
        <ext xmlns:x14="http://schemas.microsoft.com/office/spreadsheetml/2009/9/main" uri="{B025F937-C7B1-47D3-B67F-A62EFF666E3E}">
          <x14:id>{DE0DBADF-C0CC-4208-92C6-314D842B3F71}</x14:id>
        </ext>
      </extLst>
    </cfRule>
  </conditionalFormatting>
  <conditionalFormatting sqref="C17:L18">
    <cfRule type="dataBar" priority="6">
      <dataBar>
        <cfvo type="min"/>
        <cfvo type="max"/>
        <color rgb="FF638EC6"/>
      </dataBar>
      <extLst>
        <ext xmlns:x14="http://schemas.microsoft.com/office/spreadsheetml/2009/9/main" uri="{B025F937-C7B1-47D3-B67F-A62EFF666E3E}">
          <x14:id>{23B7A2A5-863D-4646-90B9-E6A4D91BBFF8}</x14:id>
        </ext>
      </extLst>
    </cfRule>
  </conditionalFormatting>
  <pageMargins left="0.7" right="0.7" top="0.75" bottom="0.75" header="0.3" footer="0.3"/>
  <pageSetup paperSize="9" orientation="portrait" r:id="rId1"/>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DE0DBADF-C0CC-4208-92C6-314D842B3F71}">
            <x14:dataBar minLength="0" maxLength="100" border="1" negativeBarBorderColorSameAsPositive="0">
              <x14:cfvo type="autoMin"/>
              <x14:cfvo type="autoMax"/>
              <x14:borderColor rgb="FFFFB628"/>
              <x14:negativeFillColor rgb="FFFF0000"/>
              <x14:negativeBorderColor rgb="FFFF0000"/>
              <x14:axisColor rgb="FF000000"/>
            </x14:dataBar>
          </x14:cfRule>
          <xm:sqref>C3:L4</xm:sqref>
        </x14:conditionalFormatting>
        <x14:conditionalFormatting xmlns:xm="http://schemas.microsoft.com/office/excel/2006/main">
          <x14:cfRule type="dataBar" id="{23B7A2A5-863D-4646-90B9-E6A4D91BBFF8}">
            <x14:dataBar minLength="0" maxLength="100" gradient="0">
              <x14:cfvo type="autoMin"/>
              <x14:cfvo type="autoMax"/>
              <x14:negativeFillColor rgb="FFFF0000"/>
              <x14:axisColor rgb="FF000000"/>
            </x14:dataBar>
          </x14:cfRule>
          <xm:sqref>C17:L18</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6011B-965E-43E4-B0F6-1EE60ED67B4D}">
  <dimension ref="A1:L27"/>
  <sheetViews>
    <sheetView topLeftCell="A4" zoomScaleNormal="100" workbookViewId="0">
      <selection activeCell="A13" sqref="A13:B13"/>
    </sheetView>
  </sheetViews>
  <sheetFormatPr defaultColWidth="8.85546875" defaultRowHeight="15" x14ac:dyDescent="0.25"/>
  <cols>
    <col min="1" max="1" width="70.7109375" style="1" customWidth="1"/>
    <col min="2" max="2" width="10.7109375" style="3" customWidth="1"/>
    <col min="3" max="12" width="15.7109375" style="1" customWidth="1"/>
    <col min="13" max="16384" width="8.85546875" style="1"/>
  </cols>
  <sheetData>
    <row r="1" spans="1:12" ht="26.25" customHeight="1" x14ac:dyDescent="0.25">
      <c r="B1" s="108" t="s">
        <v>139</v>
      </c>
      <c r="C1" s="108"/>
      <c r="D1" s="108"/>
      <c r="E1" s="108"/>
      <c r="F1" s="108"/>
      <c r="G1" s="108"/>
      <c r="H1" s="108"/>
      <c r="I1" s="108"/>
      <c r="J1" s="108"/>
      <c r="K1" s="108"/>
      <c r="L1" s="108"/>
    </row>
    <row r="2" spans="1:12" ht="45" x14ac:dyDescent="0.25">
      <c r="B2" s="14" t="s">
        <v>0</v>
      </c>
      <c r="C2" s="2" t="s">
        <v>113</v>
      </c>
      <c r="D2" s="2" t="s">
        <v>114</v>
      </c>
      <c r="E2" s="2" t="s">
        <v>115</v>
      </c>
      <c r="F2" s="2" t="s">
        <v>116</v>
      </c>
      <c r="G2" s="2" t="s">
        <v>117</v>
      </c>
      <c r="H2" s="2" t="s">
        <v>118</v>
      </c>
      <c r="I2" s="2" t="s">
        <v>119</v>
      </c>
      <c r="J2" s="2" t="s">
        <v>120</v>
      </c>
      <c r="K2" s="2" t="s">
        <v>121</v>
      </c>
      <c r="L2" s="2" t="s">
        <v>122</v>
      </c>
    </row>
    <row r="3" spans="1:12" x14ac:dyDescent="0.25">
      <c r="B3" s="64">
        <v>1</v>
      </c>
      <c r="C3" s="78">
        <v>563364</v>
      </c>
      <c r="D3" s="78">
        <v>568777</v>
      </c>
      <c r="E3" s="78">
        <v>567582</v>
      </c>
      <c r="F3" s="78">
        <v>553764</v>
      </c>
      <c r="G3" s="78">
        <v>556390</v>
      </c>
      <c r="H3" s="78">
        <v>544686</v>
      </c>
      <c r="I3" s="78">
        <v>539938</v>
      </c>
      <c r="J3" s="78">
        <v>559972</v>
      </c>
      <c r="K3" s="78">
        <v>565231</v>
      </c>
      <c r="L3" s="78">
        <v>530791</v>
      </c>
    </row>
    <row r="4" spans="1:12" x14ac:dyDescent="0.25">
      <c r="B4" s="64">
        <v>2</v>
      </c>
      <c r="C4" s="78">
        <v>562136</v>
      </c>
      <c r="D4" s="78">
        <v>563773</v>
      </c>
      <c r="E4" s="78">
        <v>567132</v>
      </c>
      <c r="F4" s="78">
        <v>562970</v>
      </c>
      <c r="G4" s="78">
        <v>552826</v>
      </c>
      <c r="H4" s="78">
        <v>555949</v>
      </c>
      <c r="I4" s="78">
        <v>529637</v>
      </c>
      <c r="J4" s="78">
        <v>559944</v>
      </c>
      <c r="K4" s="78">
        <v>561851</v>
      </c>
      <c r="L4" s="78">
        <v>531377</v>
      </c>
    </row>
    <row r="5" spans="1:12" ht="24" customHeight="1" x14ac:dyDescent="0.4">
      <c r="A5" s="103" t="s">
        <v>123</v>
      </c>
      <c r="B5" s="103"/>
      <c r="C5" s="79">
        <f>AVERAGE(Table1456789102341112141618[No. Of Iterations Block Of Text - Run 1])</f>
        <v>562750</v>
      </c>
      <c r="D5" s="7">
        <f>AVERAGE(Table1456789102341112141618[No. Of Iterations Block Of Text - Run 2])</f>
        <v>566275</v>
      </c>
      <c r="E5" s="7">
        <f>AVERAGE(Table1456789102341112141618[No. Of Iterations Block Of Text - Run 3])</f>
        <v>567357</v>
      </c>
      <c r="F5" s="7">
        <f>AVERAGE(Table1456789102341112141618[No. Of Iterations Block Of Text - Run 4])</f>
        <v>558367</v>
      </c>
      <c r="G5" s="7">
        <f>AVERAGE(Table1456789102341112141618[No. Of Iterations Block Of Text - Run 5])</f>
        <v>554608</v>
      </c>
      <c r="H5" s="7">
        <f>AVERAGE(Table1456789102341112141618[No. Of Iterations Block Of Text - Run 6])</f>
        <v>550317.5</v>
      </c>
      <c r="I5" s="7">
        <f>AVERAGE(Table1456789102341112141618[No. Of Iterations Block Of Text - Run 7])</f>
        <v>534787.5</v>
      </c>
      <c r="J5" s="7">
        <f>AVERAGE(Table1456789102341112141618[No. Of Iterations Block Of Text - Run 8])</f>
        <v>559958</v>
      </c>
      <c r="K5" s="7">
        <f>AVERAGE(Table1456789102341112141618[No. Of Iterations Block Of Text - Run 9])</f>
        <v>563541</v>
      </c>
      <c r="L5" s="7">
        <f>AVERAGE(Table1456789102341112141618[No. Of Iterations Block Of Text - Run 10])</f>
        <v>531084</v>
      </c>
    </row>
    <row r="6" spans="1:12" ht="24" x14ac:dyDescent="0.4">
      <c r="A6" s="103" t="s">
        <v>124</v>
      </c>
      <c r="B6" s="103"/>
      <c r="C6" s="79">
        <f>MIN(Table1456789102341112141618[No. Of Iterations Block Of Text - Run 1])</f>
        <v>562136</v>
      </c>
      <c r="D6" s="7">
        <f>MIN(Table1456789102341112141618[No. Of Iterations Block Of Text - Run 2])</f>
        <v>563773</v>
      </c>
      <c r="E6" s="7">
        <f>MIN(Table1456789102341112141618[No. Of Iterations Block Of Text - Run 3])</f>
        <v>567132</v>
      </c>
      <c r="F6" s="7">
        <f>MIN(Table1456789102341112141618[No. Of Iterations Block Of Text - Run 4])</f>
        <v>553764</v>
      </c>
      <c r="G6" s="7">
        <f>MIN(Table1456789102341112141618[No. Of Iterations Block Of Text - Run 5])</f>
        <v>552826</v>
      </c>
      <c r="H6" s="7">
        <f>MIN(Table1456789102341112141618[No. Of Iterations Block Of Text - Run 6])</f>
        <v>544686</v>
      </c>
      <c r="I6" s="7">
        <f>MIN(Table1456789102341112141618[No. Of Iterations Block Of Text - Run 7])</f>
        <v>529637</v>
      </c>
      <c r="J6" s="7">
        <f>MIN(Table1456789102341112141618[No. Of Iterations Block Of Text - Run 8])</f>
        <v>559944</v>
      </c>
      <c r="K6" s="7">
        <f>MIN(Table1456789102341112141618[No. Of Iterations Block Of Text - Run 9])</f>
        <v>561851</v>
      </c>
      <c r="L6" s="7">
        <f>MIN(Table1456789102341112141618[No. Of Iterations Block Of Text - Run 10])</f>
        <v>530791</v>
      </c>
    </row>
    <row r="7" spans="1:12" ht="24" x14ac:dyDescent="0.4">
      <c r="A7" s="103" t="s">
        <v>125</v>
      </c>
      <c r="B7" s="133"/>
      <c r="C7" s="79">
        <f>MAX(Table1456789102341112141618[No. Of Iterations Block Of Text - Run 1])</f>
        <v>563364</v>
      </c>
      <c r="D7" s="7">
        <f>MAX(Table1456789102341112141618[No. Of Iterations Block Of Text - Run 2])</f>
        <v>568777</v>
      </c>
      <c r="E7" s="7">
        <f>MAX(Table1456789102341112141618[No. Of Iterations Block Of Text - Run 3])</f>
        <v>567582</v>
      </c>
      <c r="F7" s="7">
        <f>MAX(Table1456789102341112141618[No. Of Iterations Block Of Text - Run 4])</f>
        <v>562970</v>
      </c>
      <c r="G7" s="7">
        <f>MAX(Table1456789102341112141618[No. Of Iterations Block Of Text - Run 5])</f>
        <v>556390</v>
      </c>
      <c r="H7" s="7">
        <f>MAX(Table1456789102341112141618[No. Of Iterations Block Of Text - Run 6])</f>
        <v>555949</v>
      </c>
      <c r="I7" s="7">
        <f>MAX(Table1456789102341112141618[No. Of Iterations Block Of Text - Run 7])</f>
        <v>539938</v>
      </c>
      <c r="J7" s="7">
        <f>MAX(Table1456789102341112141618[No. Of Iterations Block Of Text - Run 8])</f>
        <v>559972</v>
      </c>
      <c r="K7" s="7">
        <f>MAX(Table1456789102341112141618[No. Of Iterations Block Of Text - Run 9])</f>
        <v>565231</v>
      </c>
      <c r="L7" s="7">
        <f>MAX(Table1456789102341112141618[No. Of Iterations Block Of Text - Run 10])</f>
        <v>531377</v>
      </c>
    </row>
    <row r="8" spans="1:12" ht="24" x14ac:dyDescent="0.4">
      <c r="A8" s="103" t="s">
        <v>126</v>
      </c>
      <c r="B8" s="133"/>
      <c r="C8" s="79">
        <f>C7-C6</f>
        <v>1228</v>
      </c>
      <c r="D8" s="7">
        <f t="shared" ref="D8:L8" si="0">D7-D6</f>
        <v>5004</v>
      </c>
      <c r="E8" s="7">
        <f>E7-E6</f>
        <v>450</v>
      </c>
      <c r="F8" s="7">
        <f>F7-F6</f>
        <v>9206</v>
      </c>
      <c r="G8" s="7">
        <f t="shared" si="0"/>
        <v>3564</v>
      </c>
      <c r="H8" s="7">
        <f t="shared" si="0"/>
        <v>11263</v>
      </c>
      <c r="I8" s="7">
        <f t="shared" si="0"/>
        <v>10301</v>
      </c>
      <c r="J8" s="7">
        <f t="shared" si="0"/>
        <v>28</v>
      </c>
      <c r="K8" s="7">
        <f t="shared" si="0"/>
        <v>3380</v>
      </c>
      <c r="L8" s="7">
        <f t="shared" si="0"/>
        <v>586</v>
      </c>
    </row>
    <row r="9" spans="1:12" ht="24" x14ac:dyDescent="0.4">
      <c r="A9" s="103" t="s">
        <v>127</v>
      </c>
      <c r="B9" s="133"/>
      <c r="C9" s="86">
        <f>C8/C6</f>
        <v>2.1845247413437318E-3</v>
      </c>
      <c r="D9" s="87">
        <f t="shared" ref="D9:L9" si="1">D8/D6</f>
        <v>8.8759128230688593E-3</v>
      </c>
      <c r="E9" s="87">
        <f t="shared" si="1"/>
        <v>7.9346607139078732E-4</v>
      </c>
      <c r="F9" s="87">
        <f t="shared" si="1"/>
        <v>1.6624410398653578E-2</v>
      </c>
      <c r="G9" s="87">
        <f t="shared" si="1"/>
        <v>6.4468747851946185E-3</v>
      </c>
      <c r="H9" s="87">
        <f t="shared" si="1"/>
        <v>2.0677968591078164E-2</v>
      </c>
      <c r="I9" s="87">
        <f t="shared" si="1"/>
        <v>1.9449169903160087E-2</v>
      </c>
      <c r="J9" s="87">
        <f t="shared" si="1"/>
        <v>5.0005000500050007E-5</v>
      </c>
      <c r="K9" s="87">
        <f t="shared" si="1"/>
        <v>6.0158298196496939E-3</v>
      </c>
      <c r="L9" s="87">
        <f t="shared" si="1"/>
        <v>1.1040126904939985E-3</v>
      </c>
    </row>
    <row r="10" spans="1:12" ht="31.5" x14ac:dyDescent="0.5">
      <c r="A10" s="103" t="s">
        <v>128</v>
      </c>
      <c r="B10" s="133"/>
      <c r="C10" s="88">
        <f>MIN(C9:L9)</f>
        <v>5.0005000500050007E-5</v>
      </c>
      <c r="D10" s="7"/>
      <c r="E10" s="7"/>
      <c r="F10" s="7"/>
      <c r="G10" s="7"/>
      <c r="H10" s="7"/>
      <c r="I10" s="7"/>
      <c r="J10" s="7"/>
      <c r="K10" s="7"/>
      <c r="L10" s="7"/>
    </row>
    <row r="11" spans="1:12" ht="31.5" x14ac:dyDescent="0.5">
      <c r="A11" s="103" t="s">
        <v>129</v>
      </c>
      <c r="B11" s="133"/>
      <c r="C11" s="88">
        <f>MAX(C9:L9)</f>
        <v>2.0677968591078164E-2</v>
      </c>
      <c r="D11" s="7"/>
      <c r="E11" s="7"/>
      <c r="F11" s="7"/>
      <c r="G11" s="7"/>
      <c r="H11" s="7"/>
      <c r="I11" s="7"/>
      <c r="J11" s="7"/>
      <c r="K11" s="7"/>
      <c r="L11" s="7"/>
    </row>
    <row r="12" spans="1:12" ht="24" x14ac:dyDescent="0.4">
      <c r="A12" s="103" t="s">
        <v>130</v>
      </c>
      <c r="B12" s="133"/>
      <c r="C12" s="87">
        <f>AVERAGE(C9:L9)</f>
        <v>8.2222174824533555E-3</v>
      </c>
      <c r="D12" s="7"/>
      <c r="E12" s="7"/>
      <c r="F12" s="7"/>
      <c r="G12" s="7"/>
      <c r="H12" s="7"/>
      <c r="I12" s="7"/>
      <c r="J12" s="7"/>
      <c r="K12" s="7"/>
      <c r="L12" s="7"/>
    </row>
    <row r="13" spans="1:12" ht="24" x14ac:dyDescent="0.4">
      <c r="A13" s="103" t="s">
        <v>138</v>
      </c>
      <c r="B13" s="133"/>
      <c r="C13" s="59">
        <f>AVERAGE(C5:L5)</f>
        <v>554904.5</v>
      </c>
    </row>
    <row r="14" spans="1:12" x14ac:dyDescent="0.25">
      <c r="A14" s="9"/>
      <c r="B14" s="9"/>
    </row>
    <row r="15" spans="1:12" ht="26.25" x14ac:dyDescent="0.25">
      <c r="B15" s="108" t="s">
        <v>140</v>
      </c>
      <c r="C15" s="108"/>
      <c r="D15" s="108"/>
      <c r="E15" s="108"/>
      <c r="F15" s="108"/>
      <c r="G15" s="108"/>
      <c r="H15" s="108"/>
      <c r="I15" s="108"/>
      <c r="J15" s="108"/>
      <c r="K15" s="108"/>
      <c r="L15" s="108"/>
    </row>
    <row r="16" spans="1:12" ht="45" x14ac:dyDescent="0.25">
      <c r="B16" s="14" t="s">
        <v>0</v>
      </c>
      <c r="C16" s="2" t="s">
        <v>113</v>
      </c>
      <c r="D16" s="2" t="s">
        <v>114</v>
      </c>
      <c r="E16" s="2" t="s">
        <v>115</v>
      </c>
      <c r="F16" s="2" t="s">
        <v>116</v>
      </c>
      <c r="G16" s="2" t="s">
        <v>117</v>
      </c>
      <c r="H16" s="2" t="s">
        <v>118</v>
      </c>
      <c r="I16" s="2" t="s">
        <v>119</v>
      </c>
      <c r="J16" s="2" t="s">
        <v>120</v>
      </c>
      <c r="K16" s="2" t="s">
        <v>121</v>
      </c>
      <c r="L16" s="2" t="s">
        <v>122</v>
      </c>
    </row>
    <row r="17" spans="1:12" x14ac:dyDescent="0.25">
      <c r="B17" s="64">
        <v>1</v>
      </c>
      <c r="C17" s="78">
        <v>596155</v>
      </c>
      <c r="D17" s="78">
        <v>598247</v>
      </c>
      <c r="E17" s="78">
        <v>599902</v>
      </c>
      <c r="F17" s="78">
        <v>600214</v>
      </c>
      <c r="G17" s="78">
        <v>591812</v>
      </c>
      <c r="H17" s="78">
        <v>604053</v>
      </c>
      <c r="I17" s="78">
        <v>596652</v>
      </c>
      <c r="J17" s="78">
        <v>593045</v>
      </c>
      <c r="K17" s="78">
        <v>599775</v>
      </c>
      <c r="L17" s="78">
        <v>598638</v>
      </c>
    </row>
    <row r="18" spans="1:12" x14ac:dyDescent="0.25">
      <c r="B18" s="64">
        <v>2</v>
      </c>
      <c r="C18" s="78">
        <v>596371</v>
      </c>
      <c r="D18" s="78">
        <v>600611</v>
      </c>
      <c r="E18" s="78">
        <v>601673</v>
      </c>
      <c r="F18" s="78">
        <v>602597</v>
      </c>
      <c r="G18" s="78">
        <v>597290</v>
      </c>
      <c r="H18" s="78">
        <v>603025</v>
      </c>
      <c r="I18" s="78">
        <v>595610</v>
      </c>
      <c r="J18" s="78">
        <v>593476</v>
      </c>
      <c r="K18" s="78">
        <v>601985</v>
      </c>
      <c r="L18" s="78">
        <v>598870</v>
      </c>
    </row>
    <row r="19" spans="1:12" ht="24" x14ac:dyDescent="0.4">
      <c r="A19" s="103" t="s">
        <v>123</v>
      </c>
      <c r="B19" s="103"/>
      <c r="C19" s="79">
        <f>AVERAGE(Table145678910234111213151719[No. Of Iterations Block Of Text - Run 1])</f>
        <v>596263</v>
      </c>
      <c r="D19" s="7">
        <f>AVERAGE(Table145678910234111213151719[No. Of Iterations Block Of Text - Run 2])</f>
        <v>599429</v>
      </c>
      <c r="E19" s="7">
        <f>AVERAGE(Table145678910234111213151719[No. Of Iterations Block Of Text - Run 3])</f>
        <v>600787.5</v>
      </c>
      <c r="F19" s="7">
        <f>AVERAGE(Table145678910234111213151719[No. Of Iterations Block Of Text - Run 4])</f>
        <v>601405.5</v>
      </c>
      <c r="G19" s="7">
        <f>AVERAGE(Table145678910234111213151719[No. Of Iterations Block Of Text - Run 5])</f>
        <v>594551</v>
      </c>
      <c r="H19" s="7">
        <f>AVERAGE(Table145678910234111213151719[No. Of Iterations Block Of Text - Run 6])</f>
        <v>603539</v>
      </c>
      <c r="I19" s="7">
        <f>AVERAGE(Table145678910234111213151719[No. Of Iterations Block Of Text - Run 7])</f>
        <v>596131</v>
      </c>
      <c r="J19" s="7">
        <f>AVERAGE(Table145678910234111213151719[No. Of Iterations Block Of Text - Run 8])</f>
        <v>593260.5</v>
      </c>
      <c r="K19" s="7">
        <f>AVERAGE(Table145678910234111213151719[No. Of Iterations Block Of Text - Run 9])</f>
        <v>600880</v>
      </c>
      <c r="L19" s="7">
        <f>AVERAGE(Table145678910234111213151719[No. Of Iterations Block Of Text - Run 10])</f>
        <v>598754</v>
      </c>
    </row>
    <row r="20" spans="1:12" ht="24" x14ac:dyDescent="0.4">
      <c r="A20" s="103" t="s">
        <v>124</v>
      </c>
      <c r="B20" s="103"/>
      <c r="C20" s="79">
        <f>MIN(Table145678910234111213151719[No. Of Iterations Block Of Text - Run 1])</f>
        <v>596155</v>
      </c>
      <c r="D20" s="7">
        <f>MIN(Table145678910234111213151719[No. Of Iterations Block Of Text - Run 2])</f>
        <v>598247</v>
      </c>
      <c r="E20" s="7">
        <f>MIN(Table145678910234111213151719[No. Of Iterations Block Of Text - Run 3])</f>
        <v>599902</v>
      </c>
      <c r="F20" s="7">
        <f>MIN(Table145678910234111213151719[No. Of Iterations Block Of Text - Run 4])</f>
        <v>600214</v>
      </c>
      <c r="G20" s="7">
        <f>MIN(Table145678910234111213151719[No. Of Iterations Block Of Text - Run 5])</f>
        <v>591812</v>
      </c>
      <c r="H20" s="7">
        <f>MIN(Table145678910234111213151719[No. Of Iterations Block Of Text - Run 6])</f>
        <v>603025</v>
      </c>
      <c r="I20" s="7">
        <f>MIN(Table145678910234111213151719[No. Of Iterations Block Of Text - Run 7])</f>
        <v>595610</v>
      </c>
      <c r="J20" s="7">
        <f>MIN(Table145678910234111213151719[No. Of Iterations Block Of Text - Run 8])</f>
        <v>593045</v>
      </c>
      <c r="K20" s="7">
        <f>MIN(Table145678910234111213151719[No. Of Iterations Block Of Text - Run 9])</f>
        <v>599775</v>
      </c>
      <c r="L20" s="7">
        <f>MIN(Table145678910234111213151719[No. Of Iterations Block Of Text - Run 10])</f>
        <v>598638</v>
      </c>
    </row>
    <row r="21" spans="1:12" ht="24" x14ac:dyDescent="0.4">
      <c r="A21" s="103" t="s">
        <v>125</v>
      </c>
      <c r="B21" s="133"/>
      <c r="C21" s="79">
        <f>MAX(Table145678910234111213151719[No. Of Iterations Block Of Text - Run 1])</f>
        <v>596371</v>
      </c>
      <c r="D21" s="7">
        <f>MAX(Table145678910234111213151719[No. Of Iterations Block Of Text - Run 2])</f>
        <v>600611</v>
      </c>
      <c r="E21" s="7">
        <f>MAX(Table145678910234111213151719[No. Of Iterations Block Of Text - Run 3])</f>
        <v>601673</v>
      </c>
      <c r="F21" s="7">
        <f>MAX(Table145678910234111213151719[No. Of Iterations Block Of Text - Run 4])</f>
        <v>602597</v>
      </c>
      <c r="G21" s="7">
        <f>MAX(Table145678910234111213151719[No. Of Iterations Block Of Text - Run 5])</f>
        <v>597290</v>
      </c>
      <c r="H21" s="7">
        <f>MAX(Table145678910234111213151719[No. Of Iterations Block Of Text - Run 6])</f>
        <v>604053</v>
      </c>
      <c r="I21" s="7">
        <f>MAX(Table145678910234111213151719[No. Of Iterations Block Of Text - Run 7])</f>
        <v>596652</v>
      </c>
      <c r="J21" s="7">
        <f>MAX(Table145678910234111213151719[No. Of Iterations Block Of Text - Run 8])</f>
        <v>593476</v>
      </c>
      <c r="K21" s="7">
        <f>MAX(Table145678910234111213151719[No. Of Iterations Block Of Text - Run 9])</f>
        <v>601985</v>
      </c>
      <c r="L21" s="7">
        <f>MAX(Table145678910234111213151719[No. Of Iterations Block Of Text - Run 10])</f>
        <v>598870</v>
      </c>
    </row>
    <row r="22" spans="1:12" ht="24" x14ac:dyDescent="0.4">
      <c r="A22" s="103" t="s">
        <v>126</v>
      </c>
      <c r="B22" s="133"/>
      <c r="C22" s="79">
        <f>C21-C20</f>
        <v>216</v>
      </c>
      <c r="D22" s="7">
        <f t="shared" ref="D22" si="2">D21-D20</f>
        <v>2364</v>
      </c>
      <c r="E22" s="7">
        <f>E21-E20</f>
        <v>1771</v>
      </c>
      <c r="F22" s="7">
        <f>F21-F20</f>
        <v>2383</v>
      </c>
      <c r="G22" s="7">
        <f t="shared" ref="G22:L22" si="3">G21-G20</f>
        <v>5478</v>
      </c>
      <c r="H22" s="7">
        <f t="shared" si="3"/>
        <v>1028</v>
      </c>
      <c r="I22" s="7">
        <f t="shared" si="3"/>
        <v>1042</v>
      </c>
      <c r="J22" s="7">
        <f t="shared" si="3"/>
        <v>431</v>
      </c>
      <c r="K22" s="7">
        <f t="shared" si="3"/>
        <v>2210</v>
      </c>
      <c r="L22" s="7">
        <f t="shared" si="3"/>
        <v>232</v>
      </c>
    </row>
    <row r="23" spans="1:12" ht="24" x14ac:dyDescent="0.4">
      <c r="A23" s="103" t="s">
        <v>127</v>
      </c>
      <c r="B23" s="133"/>
      <c r="C23" s="86">
        <f>C22/C20</f>
        <v>3.6232187937700766E-4</v>
      </c>
      <c r="D23" s="87">
        <f t="shared" ref="D23:L23" si="4">D22/D20</f>
        <v>3.9515450975934688E-3</v>
      </c>
      <c r="E23" s="87">
        <f t="shared" si="4"/>
        <v>2.9521488509789934E-3</v>
      </c>
      <c r="F23" s="87">
        <f t="shared" si="4"/>
        <v>3.9702506106155475E-3</v>
      </c>
      <c r="G23" s="87">
        <f t="shared" si="4"/>
        <v>9.2563178847336648E-3</v>
      </c>
      <c r="H23" s="87">
        <f t="shared" si="4"/>
        <v>1.7047386095103852E-3</v>
      </c>
      <c r="I23" s="87">
        <f t="shared" si="4"/>
        <v>1.749466933060224E-3</v>
      </c>
      <c r="J23" s="87">
        <f t="shared" si="4"/>
        <v>7.267576659444056E-4</v>
      </c>
      <c r="K23" s="87">
        <f t="shared" si="4"/>
        <v>3.6847151014963945E-3</v>
      </c>
      <c r="L23" s="87">
        <f t="shared" si="4"/>
        <v>3.8754639698782906E-4</v>
      </c>
    </row>
    <row r="24" spans="1:12" ht="31.5" x14ac:dyDescent="0.5">
      <c r="A24" s="103" t="s">
        <v>128</v>
      </c>
      <c r="B24" s="133"/>
      <c r="C24" s="88">
        <f>MIN(C23:L23)</f>
        <v>3.6232187937700766E-4</v>
      </c>
      <c r="D24" s="7"/>
      <c r="E24" s="7"/>
      <c r="F24" s="7"/>
      <c r="G24" s="7"/>
      <c r="H24" s="7"/>
      <c r="I24" s="7"/>
      <c r="J24" s="7"/>
      <c r="K24" s="7"/>
      <c r="L24" s="7"/>
    </row>
    <row r="25" spans="1:12" ht="31.5" x14ac:dyDescent="0.5">
      <c r="A25" s="103" t="s">
        <v>129</v>
      </c>
      <c r="B25" s="133"/>
      <c r="C25" s="88">
        <f>MAX(C23:L23)</f>
        <v>9.2563178847336648E-3</v>
      </c>
      <c r="D25" s="7"/>
      <c r="E25" s="7"/>
      <c r="F25" s="7"/>
      <c r="G25" s="7"/>
      <c r="H25" s="7"/>
      <c r="I25" s="7"/>
      <c r="J25" s="7"/>
      <c r="K25" s="7"/>
      <c r="L25" s="7"/>
    </row>
    <row r="26" spans="1:12" ht="24" x14ac:dyDescent="0.4">
      <c r="A26" s="103" t="s">
        <v>130</v>
      </c>
      <c r="B26" s="133"/>
      <c r="C26" s="87">
        <f>AVERAGE(C23:L23)</f>
        <v>2.8745809030297918E-3</v>
      </c>
    </row>
    <row r="27" spans="1:12" ht="24" x14ac:dyDescent="0.4">
      <c r="A27" s="103" t="s">
        <v>138</v>
      </c>
      <c r="B27" s="133"/>
      <c r="C27" s="59">
        <f>AVERAGE(C19:L19)</f>
        <v>598500.05000000005</v>
      </c>
    </row>
  </sheetData>
  <mergeCells count="20">
    <mergeCell ref="A27:B27"/>
    <mergeCell ref="A21:B21"/>
    <mergeCell ref="A22:B22"/>
    <mergeCell ref="A23:B23"/>
    <mergeCell ref="A24:B24"/>
    <mergeCell ref="A25:B25"/>
    <mergeCell ref="A26:B26"/>
    <mergeCell ref="A20:B20"/>
    <mergeCell ref="A13:B13"/>
    <mergeCell ref="B1:L1"/>
    <mergeCell ref="A5:B5"/>
    <mergeCell ref="A6:B6"/>
    <mergeCell ref="A7:B7"/>
    <mergeCell ref="A8:B8"/>
    <mergeCell ref="A9:B9"/>
    <mergeCell ref="A10:B10"/>
    <mergeCell ref="A11:B11"/>
    <mergeCell ref="A12:B12"/>
    <mergeCell ref="B15:L15"/>
    <mergeCell ref="A19:B19"/>
  </mergeCells>
  <conditionalFormatting sqref="C3:L4">
    <cfRule type="dataBar" priority="1">
      <dataBar>
        <cfvo type="min"/>
        <cfvo type="max"/>
        <color rgb="FFFFB628"/>
      </dataBar>
      <extLst>
        <ext xmlns:x14="http://schemas.microsoft.com/office/spreadsheetml/2009/9/main" uri="{B025F937-C7B1-47D3-B67F-A62EFF666E3E}">
          <x14:id>{4C943FA9-3C1A-49ED-BC17-0773CCB695FD}</x14:id>
        </ext>
      </extLst>
    </cfRule>
  </conditionalFormatting>
  <conditionalFormatting sqref="C17:L18">
    <cfRule type="dataBar" priority="2">
      <dataBar>
        <cfvo type="min"/>
        <cfvo type="max"/>
        <color rgb="FF638EC6"/>
      </dataBar>
      <extLst>
        <ext xmlns:x14="http://schemas.microsoft.com/office/spreadsheetml/2009/9/main" uri="{B025F937-C7B1-47D3-B67F-A62EFF666E3E}">
          <x14:id>{7618156C-2987-4424-81AD-740F71E237FC}</x14:id>
        </ext>
      </extLst>
    </cfRule>
  </conditionalFormatting>
  <pageMargins left="0.7" right="0.7" top="0.75" bottom="0.75" header="0.3" footer="0.3"/>
  <pageSetup paperSize="9" orientation="portrait" r:id="rId1"/>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4C943FA9-3C1A-49ED-BC17-0773CCB695FD}">
            <x14:dataBar minLength="0" maxLength="100" border="1" negativeBarBorderColorSameAsPositive="0">
              <x14:cfvo type="autoMin"/>
              <x14:cfvo type="autoMax"/>
              <x14:borderColor rgb="FFFFB628"/>
              <x14:negativeFillColor rgb="FFFF0000"/>
              <x14:negativeBorderColor rgb="FFFF0000"/>
              <x14:axisColor rgb="FF000000"/>
            </x14:dataBar>
          </x14:cfRule>
          <xm:sqref>C3:L4</xm:sqref>
        </x14:conditionalFormatting>
        <x14:conditionalFormatting xmlns:xm="http://schemas.microsoft.com/office/excel/2006/main">
          <x14:cfRule type="dataBar" id="{7618156C-2987-4424-81AD-740F71E237FC}">
            <x14:dataBar minLength="0" maxLength="100" gradient="0">
              <x14:cfvo type="autoMin"/>
              <x14:cfvo type="autoMax"/>
              <x14:negativeFillColor rgb="FFFF0000"/>
              <x14:axisColor rgb="FF000000"/>
            </x14:dataBar>
          </x14:cfRule>
          <xm:sqref>C17:L18</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FC78F-D498-4513-B9F7-51C2BB04DE96}">
  <dimension ref="A1:L31"/>
  <sheetViews>
    <sheetView topLeftCell="A9" zoomScaleNormal="100" workbookViewId="0">
      <selection activeCell="A15" sqref="A15:B15"/>
    </sheetView>
  </sheetViews>
  <sheetFormatPr defaultColWidth="8.85546875" defaultRowHeight="15" x14ac:dyDescent="0.25"/>
  <cols>
    <col min="1" max="1" width="70.7109375" style="1" customWidth="1"/>
    <col min="2" max="2" width="10.7109375" style="3" customWidth="1"/>
    <col min="3" max="12" width="15.7109375" style="1" customWidth="1"/>
    <col min="13" max="16384" width="8.85546875" style="1"/>
  </cols>
  <sheetData>
    <row r="1" spans="1:12" ht="26.25" customHeight="1" x14ac:dyDescent="0.25">
      <c r="B1" s="108" t="s">
        <v>131</v>
      </c>
      <c r="C1" s="108"/>
      <c r="D1" s="108"/>
      <c r="E1" s="108"/>
      <c r="F1" s="108"/>
      <c r="G1" s="108"/>
      <c r="H1" s="108"/>
      <c r="I1" s="108"/>
      <c r="J1" s="108"/>
      <c r="K1" s="108"/>
      <c r="L1" s="108"/>
    </row>
    <row r="2" spans="1:12" ht="45" x14ac:dyDescent="0.25">
      <c r="B2" s="14" t="s">
        <v>0</v>
      </c>
      <c r="C2" s="2" t="s">
        <v>113</v>
      </c>
      <c r="D2" s="2" t="s">
        <v>114</v>
      </c>
      <c r="E2" s="2" t="s">
        <v>115</v>
      </c>
      <c r="F2" s="2" t="s">
        <v>116</v>
      </c>
      <c r="G2" s="2" t="s">
        <v>117</v>
      </c>
      <c r="H2" s="2" t="s">
        <v>118</v>
      </c>
      <c r="I2" s="2" t="s">
        <v>119</v>
      </c>
      <c r="J2" s="2" t="s">
        <v>120</v>
      </c>
      <c r="K2" s="2" t="s">
        <v>121</v>
      </c>
      <c r="L2" s="2" t="s">
        <v>122</v>
      </c>
    </row>
    <row r="3" spans="1:12" x14ac:dyDescent="0.25">
      <c r="B3" s="64">
        <v>1</v>
      </c>
      <c r="C3" s="78">
        <v>516972</v>
      </c>
      <c r="D3" s="78">
        <v>510912</v>
      </c>
      <c r="E3" s="78">
        <v>508852</v>
      </c>
      <c r="F3" s="78">
        <v>507915</v>
      </c>
      <c r="G3" s="78">
        <v>511642</v>
      </c>
      <c r="H3" s="78">
        <v>514424</v>
      </c>
      <c r="I3" s="78">
        <v>512430</v>
      </c>
      <c r="J3" s="78">
        <v>513098</v>
      </c>
      <c r="K3" s="78">
        <v>500992</v>
      </c>
      <c r="L3" s="78">
        <v>514232</v>
      </c>
    </row>
    <row r="4" spans="1:12" x14ac:dyDescent="0.25">
      <c r="B4" s="64">
        <v>2</v>
      </c>
      <c r="C4" s="78">
        <v>515514</v>
      </c>
      <c r="D4" s="78">
        <v>514390</v>
      </c>
      <c r="E4" s="78">
        <v>521001</v>
      </c>
      <c r="F4" s="78">
        <v>520775</v>
      </c>
      <c r="G4" s="78">
        <v>506169</v>
      </c>
      <c r="H4" s="78">
        <v>518680</v>
      </c>
      <c r="I4" s="78">
        <v>522700</v>
      </c>
      <c r="J4" s="78">
        <v>517451</v>
      </c>
      <c r="K4" s="78">
        <v>507243</v>
      </c>
      <c r="L4" s="78">
        <v>518444</v>
      </c>
    </row>
    <row r="5" spans="1:12" x14ac:dyDescent="0.25">
      <c r="B5" s="64">
        <v>3</v>
      </c>
      <c r="C5" s="78">
        <v>528624</v>
      </c>
      <c r="D5" s="78">
        <v>520626</v>
      </c>
      <c r="E5" s="78">
        <v>521564</v>
      </c>
      <c r="F5" s="78">
        <v>513489</v>
      </c>
      <c r="G5" s="78">
        <v>525630</v>
      </c>
      <c r="H5" s="78">
        <v>520261</v>
      </c>
      <c r="I5" s="78">
        <v>523547</v>
      </c>
      <c r="J5" s="78">
        <v>524243</v>
      </c>
      <c r="K5" s="78">
        <v>515288</v>
      </c>
      <c r="L5" s="78">
        <v>524131</v>
      </c>
    </row>
    <row r="6" spans="1:12" x14ac:dyDescent="0.25">
      <c r="B6" s="64">
        <v>4</v>
      </c>
      <c r="C6" s="78">
        <v>506875</v>
      </c>
      <c r="D6" s="78">
        <v>520892</v>
      </c>
      <c r="E6" s="78">
        <v>516965</v>
      </c>
      <c r="F6" s="78">
        <v>517647</v>
      </c>
      <c r="G6" s="78">
        <v>522308</v>
      </c>
      <c r="H6" s="78">
        <v>517963</v>
      </c>
      <c r="I6" s="78">
        <v>516969</v>
      </c>
      <c r="J6" s="78">
        <v>513486</v>
      </c>
      <c r="K6" s="78">
        <v>503526</v>
      </c>
      <c r="L6" s="78">
        <v>521957</v>
      </c>
    </row>
    <row r="7" spans="1:12" ht="24" customHeight="1" x14ac:dyDescent="0.4">
      <c r="A7" s="103" t="s">
        <v>123</v>
      </c>
      <c r="B7" s="103"/>
      <c r="C7" s="79">
        <f>AVERAGE(Table14567891023411121420[No. Of Iterations Block Of Text - Run 1])</f>
        <v>516996.25</v>
      </c>
      <c r="D7" s="7">
        <f>AVERAGE(Table14567891023411121420[No. Of Iterations Block Of Text - Run 2])</f>
        <v>516705</v>
      </c>
      <c r="E7" s="7">
        <f>AVERAGE(Table14567891023411121420[No. Of Iterations Block Of Text - Run 3])</f>
        <v>517095.5</v>
      </c>
      <c r="F7" s="7">
        <f>AVERAGE(Table14567891023411121420[No. Of Iterations Block Of Text - Run 4])</f>
        <v>514956.5</v>
      </c>
      <c r="G7" s="7">
        <f>AVERAGE(Table14567891023411121420[No. Of Iterations Block Of Text - Run 5])</f>
        <v>516437.25</v>
      </c>
      <c r="H7" s="7">
        <f>AVERAGE(Table14567891023411121420[No. Of Iterations Block Of Text - Run 6])</f>
        <v>517832</v>
      </c>
      <c r="I7" s="7">
        <f>AVERAGE(Table14567891023411121420[No. Of Iterations Block Of Text - Run 7])</f>
        <v>518911.5</v>
      </c>
      <c r="J7" s="7">
        <f>AVERAGE(Table14567891023411121420[No. Of Iterations Block Of Text - Run 8])</f>
        <v>517069.5</v>
      </c>
      <c r="K7" s="7">
        <f>AVERAGE(Table14567891023411121420[No. Of Iterations Block Of Text - Run 9])</f>
        <v>506762.25</v>
      </c>
      <c r="L7" s="7">
        <f>AVERAGE(Table14567891023411121420[No. Of Iterations Block Of Text - Run 10])</f>
        <v>519691</v>
      </c>
    </row>
    <row r="8" spans="1:12" ht="24" x14ac:dyDescent="0.4">
      <c r="A8" s="103" t="s">
        <v>124</v>
      </c>
      <c r="B8" s="103"/>
      <c r="C8" s="79">
        <f>MIN(Table14567891023411121420[No. Of Iterations Block Of Text - Run 1])</f>
        <v>506875</v>
      </c>
      <c r="D8" s="7">
        <f>MIN(Table14567891023411121420[No. Of Iterations Block Of Text - Run 2])</f>
        <v>510912</v>
      </c>
      <c r="E8" s="7">
        <f>MIN(Table14567891023411121420[No. Of Iterations Block Of Text - Run 3])</f>
        <v>508852</v>
      </c>
      <c r="F8" s="7">
        <f>MIN(Table14567891023411121420[No. Of Iterations Block Of Text - Run 4])</f>
        <v>507915</v>
      </c>
      <c r="G8" s="7">
        <f>MIN(Table14567891023411121420[No. Of Iterations Block Of Text - Run 5])</f>
        <v>506169</v>
      </c>
      <c r="H8" s="7">
        <f>MIN(Table14567891023411121420[No. Of Iterations Block Of Text - Run 6])</f>
        <v>514424</v>
      </c>
      <c r="I8" s="7">
        <f>MIN(Table14567891023411121420[No. Of Iterations Block Of Text - Run 7])</f>
        <v>512430</v>
      </c>
      <c r="J8" s="7">
        <f>MIN(Table14567891023411121420[No. Of Iterations Block Of Text - Run 8])</f>
        <v>513098</v>
      </c>
      <c r="K8" s="7">
        <f>MIN(Table14567891023411121420[No. Of Iterations Block Of Text - Run 9])</f>
        <v>500992</v>
      </c>
      <c r="L8" s="7">
        <f>MIN(Table14567891023411121420[No. Of Iterations Block Of Text - Run 10])</f>
        <v>514232</v>
      </c>
    </row>
    <row r="9" spans="1:12" ht="24" x14ac:dyDescent="0.4">
      <c r="A9" s="103" t="s">
        <v>125</v>
      </c>
      <c r="B9" s="133"/>
      <c r="C9" s="79">
        <f>MAX(Table14567891023411121420[No. Of Iterations Block Of Text - Run 1])</f>
        <v>528624</v>
      </c>
      <c r="D9" s="7">
        <f>MAX(Table14567891023411121420[No. Of Iterations Block Of Text - Run 2])</f>
        <v>520892</v>
      </c>
      <c r="E9" s="7">
        <f>MAX(Table14567891023411121420[No. Of Iterations Block Of Text - Run 3])</f>
        <v>521564</v>
      </c>
      <c r="F9" s="7">
        <f>MAX(Table14567891023411121420[No. Of Iterations Block Of Text - Run 4])</f>
        <v>520775</v>
      </c>
      <c r="G9" s="7">
        <f>MAX(Table14567891023411121420[No. Of Iterations Block Of Text - Run 5])</f>
        <v>525630</v>
      </c>
      <c r="H9" s="7">
        <f>MAX(Table14567891023411121420[No. Of Iterations Block Of Text - Run 6])</f>
        <v>520261</v>
      </c>
      <c r="I9" s="7">
        <f>MAX(Table14567891023411121420[No. Of Iterations Block Of Text - Run 7])</f>
        <v>523547</v>
      </c>
      <c r="J9" s="7">
        <f>MAX(Table14567891023411121420[No. Of Iterations Block Of Text - Run 8])</f>
        <v>524243</v>
      </c>
      <c r="K9" s="7">
        <f>MAX(Table14567891023411121420[No. Of Iterations Block Of Text - Run 9])</f>
        <v>515288</v>
      </c>
      <c r="L9" s="7">
        <f>MAX(Table14567891023411121420[No. Of Iterations Block Of Text - Run 10])</f>
        <v>524131</v>
      </c>
    </row>
    <row r="10" spans="1:12" ht="24" x14ac:dyDescent="0.4">
      <c r="A10" s="103" t="s">
        <v>126</v>
      </c>
      <c r="B10" s="133"/>
      <c r="C10" s="79">
        <f>C9-C8</f>
        <v>21749</v>
      </c>
      <c r="D10" s="7">
        <f t="shared" ref="D10:L10" si="0">D9-D8</f>
        <v>9980</v>
      </c>
      <c r="E10" s="7">
        <f>E9-E8</f>
        <v>12712</v>
      </c>
      <c r="F10" s="7">
        <f>F9-F8</f>
        <v>12860</v>
      </c>
      <c r="G10" s="7">
        <f t="shared" si="0"/>
        <v>19461</v>
      </c>
      <c r="H10" s="7">
        <f t="shared" si="0"/>
        <v>5837</v>
      </c>
      <c r="I10" s="7">
        <f t="shared" si="0"/>
        <v>11117</v>
      </c>
      <c r="J10" s="7">
        <f t="shared" si="0"/>
        <v>11145</v>
      </c>
      <c r="K10" s="7">
        <f t="shared" si="0"/>
        <v>14296</v>
      </c>
      <c r="L10" s="7">
        <f t="shared" si="0"/>
        <v>9899</v>
      </c>
    </row>
    <row r="11" spans="1:12" ht="24" x14ac:dyDescent="0.4">
      <c r="A11" s="103" t="s">
        <v>127</v>
      </c>
      <c r="B11" s="133"/>
      <c r="C11" s="83">
        <f>C10/C8</f>
        <v>4.2908014796547475E-2</v>
      </c>
      <c r="D11" s="84">
        <f t="shared" ref="D11:L11" si="1">D10/D8</f>
        <v>1.9533696605286234E-2</v>
      </c>
      <c r="E11" s="84">
        <f t="shared" si="1"/>
        <v>2.4981723565987754E-2</v>
      </c>
      <c r="F11" s="84">
        <f t="shared" si="1"/>
        <v>2.5319197109752615E-2</v>
      </c>
      <c r="G11" s="84">
        <f t="shared" si="1"/>
        <v>3.8447633102777927E-2</v>
      </c>
      <c r="H11" s="84">
        <f t="shared" si="1"/>
        <v>1.134667122840303E-2</v>
      </c>
      <c r="I11" s="84">
        <f t="shared" si="1"/>
        <v>2.1694670491579339E-2</v>
      </c>
      <c r="J11" s="84">
        <f t="shared" si="1"/>
        <v>2.1720996768648484E-2</v>
      </c>
      <c r="K11" s="84">
        <f t="shared" si="1"/>
        <v>2.8535385794583545E-2</v>
      </c>
      <c r="L11" s="84">
        <f t="shared" si="1"/>
        <v>1.925006611801677E-2</v>
      </c>
    </row>
    <row r="12" spans="1:12" ht="31.5" x14ac:dyDescent="0.5">
      <c r="A12" s="103" t="s">
        <v>128</v>
      </c>
      <c r="B12" s="133"/>
      <c r="C12" s="85">
        <f>MIN(C11:L11)</f>
        <v>1.134667122840303E-2</v>
      </c>
      <c r="D12" s="7"/>
      <c r="E12" s="7"/>
      <c r="F12" s="7"/>
      <c r="G12" s="7"/>
      <c r="H12" s="7"/>
      <c r="I12" s="7"/>
      <c r="J12" s="7"/>
      <c r="K12" s="7"/>
      <c r="L12" s="7"/>
    </row>
    <row r="13" spans="1:12" ht="31.5" x14ac:dyDescent="0.5">
      <c r="A13" s="103" t="s">
        <v>129</v>
      </c>
      <c r="B13" s="133"/>
      <c r="C13" s="85">
        <f>MAX(C11:L11)</f>
        <v>4.2908014796547475E-2</v>
      </c>
      <c r="D13" s="7"/>
      <c r="E13" s="7"/>
      <c r="F13" s="7"/>
      <c r="G13" s="7"/>
      <c r="H13" s="7"/>
      <c r="I13" s="7"/>
      <c r="J13" s="7"/>
      <c r="K13" s="7"/>
      <c r="L13" s="7"/>
    </row>
    <row r="14" spans="1:12" ht="24" x14ac:dyDescent="0.4">
      <c r="A14" s="103" t="s">
        <v>130</v>
      </c>
      <c r="B14" s="133"/>
      <c r="C14" s="84">
        <f>AVERAGE(C11:L11)</f>
        <v>2.5373805558158314E-2</v>
      </c>
      <c r="D14" s="7"/>
      <c r="E14" s="7"/>
      <c r="F14" s="7"/>
      <c r="G14" s="7"/>
      <c r="H14" s="7"/>
      <c r="I14" s="7"/>
      <c r="J14" s="7"/>
      <c r="K14" s="7"/>
      <c r="L14" s="7"/>
    </row>
    <row r="15" spans="1:12" ht="24" x14ac:dyDescent="0.4">
      <c r="A15" s="103" t="s">
        <v>138</v>
      </c>
      <c r="B15" s="133"/>
      <c r="C15" s="59">
        <f>AVERAGE(C7:L7)</f>
        <v>516245.67499999999</v>
      </c>
    </row>
    <row r="16" spans="1:12" x14ac:dyDescent="0.25">
      <c r="A16" s="9"/>
      <c r="B16" s="9"/>
    </row>
    <row r="17" spans="1:12" ht="26.25" x14ac:dyDescent="0.25">
      <c r="B17" s="108" t="s">
        <v>132</v>
      </c>
      <c r="C17" s="108"/>
      <c r="D17" s="108"/>
      <c r="E17" s="108"/>
      <c r="F17" s="108"/>
      <c r="G17" s="108"/>
      <c r="H17" s="108"/>
      <c r="I17" s="108"/>
      <c r="J17" s="108"/>
      <c r="K17" s="108"/>
      <c r="L17" s="108"/>
    </row>
    <row r="18" spans="1:12" ht="45" x14ac:dyDescent="0.25">
      <c r="B18" s="14" t="s">
        <v>0</v>
      </c>
      <c r="C18" s="2" t="s">
        <v>113</v>
      </c>
      <c r="D18" s="2" t="s">
        <v>114</v>
      </c>
      <c r="E18" s="2" t="s">
        <v>115</v>
      </c>
      <c r="F18" s="2" t="s">
        <v>116</v>
      </c>
      <c r="G18" s="2" t="s">
        <v>117</v>
      </c>
      <c r="H18" s="2" t="s">
        <v>118</v>
      </c>
      <c r="I18" s="2" t="s">
        <v>119</v>
      </c>
      <c r="J18" s="2" t="s">
        <v>120</v>
      </c>
      <c r="K18" s="2" t="s">
        <v>121</v>
      </c>
      <c r="L18" s="2" t="s">
        <v>122</v>
      </c>
    </row>
    <row r="19" spans="1:12" x14ac:dyDescent="0.25">
      <c r="B19" s="64">
        <v>1</v>
      </c>
      <c r="C19" s="78">
        <v>554794</v>
      </c>
      <c r="D19" s="78">
        <v>545694</v>
      </c>
      <c r="E19" s="78">
        <v>548246</v>
      </c>
      <c r="F19" s="78">
        <v>549899</v>
      </c>
      <c r="G19" s="78">
        <v>555123</v>
      </c>
      <c r="H19" s="78">
        <v>558573</v>
      </c>
      <c r="I19" s="78">
        <v>555215</v>
      </c>
      <c r="J19" s="78">
        <v>548895</v>
      </c>
      <c r="K19" s="78">
        <v>552680</v>
      </c>
      <c r="L19" s="78">
        <v>535123</v>
      </c>
    </row>
    <row r="20" spans="1:12" x14ac:dyDescent="0.25">
      <c r="B20" s="64">
        <v>2</v>
      </c>
      <c r="C20" s="78">
        <v>552664</v>
      </c>
      <c r="D20" s="78">
        <v>552246</v>
      </c>
      <c r="E20" s="78">
        <v>552756</v>
      </c>
      <c r="F20" s="78">
        <v>551646</v>
      </c>
      <c r="G20" s="78">
        <v>558116</v>
      </c>
      <c r="H20" s="78">
        <v>553217</v>
      </c>
      <c r="I20" s="78">
        <v>549300</v>
      </c>
      <c r="J20" s="78">
        <v>555240</v>
      </c>
      <c r="K20" s="78">
        <v>543923</v>
      </c>
      <c r="L20" s="78">
        <v>534339</v>
      </c>
    </row>
    <row r="21" spans="1:12" x14ac:dyDescent="0.25">
      <c r="B21" s="64">
        <v>3</v>
      </c>
      <c r="C21" s="78">
        <v>549060</v>
      </c>
      <c r="D21" s="78">
        <v>554189</v>
      </c>
      <c r="E21" s="78">
        <v>545496</v>
      </c>
      <c r="F21" s="78">
        <v>554345</v>
      </c>
      <c r="G21" s="78">
        <v>562822</v>
      </c>
      <c r="H21" s="78">
        <v>554746</v>
      </c>
      <c r="I21" s="78">
        <v>555112</v>
      </c>
      <c r="J21" s="78">
        <v>559017</v>
      </c>
      <c r="K21" s="78">
        <v>553412</v>
      </c>
      <c r="L21" s="78">
        <v>538834</v>
      </c>
    </row>
    <row r="22" spans="1:12" x14ac:dyDescent="0.25">
      <c r="B22" s="64">
        <v>4</v>
      </c>
      <c r="C22" s="78">
        <v>543834</v>
      </c>
      <c r="D22" s="78">
        <v>549022</v>
      </c>
      <c r="E22" s="78">
        <v>542126</v>
      </c>
      <c r="F22" s="78">
        <v>553758</v>
      </c>
      <c r="G22" s="78">
        <v>553324</v>
      </c>
      <c r="H22" s="78">
        <v>555391</v>
      </c>
      <c r="I22" s="78">
        <v>548555</v>
      </c>
      <c r="J22" s="78">
        <v>550249</v>
      </c>
      <c r="K22" s="78">
        <v>551969</v>
      </c>
      <c r="L22" s="78">
        <v>544346</v>
      </c>
    </row>
    <row r="23" spans="1:12" ht="24" x14ac:dyDescent="0.4">
      <c r="A23" s="103" t="s">
        <v>123</v>
      </c>
      <c r="B23" s="103"/>
      <c r="C23" s="79">
        <f>AVERAGE(Table1456789102341112131521[No. Of Iterations Block Of Text - Run 1])</f>
        <v>550088</v>
      </c>
      <c r="D23" s="7">
        <f>AVERAGE(Table1456789102341112131521[No. Of Iterations Block Of Text - Run 2])</f>
        <v>550287.75</v>
      </c>
      <c r="E23" s="7">
        <f>AVERAGE(Table1456789102341112131521[No. Of Iterations Block Of Text - Run 3])</f>
        <v>547156</v>
      </c>
      <c r="F23" s="7">
        <f>AVERAGE(Table1456789102341112131521[No. Of Iterations Block Of Text - Run 4])</f>
        <v>552412</v>
      </c>
      <c r="G23" s="7">
        <f>AVERAGE(Table1456789102341112131521[No. Of Iterations Block Of Text - Run 5])</f>
        <v>557346.25</v>
      </c>
      <c r="H23" s="7">
        <f>AVERAGE(Table1456789102341112131521[No. Of Iterations Block Of Text - Run 6])</f>
        <v>555481.75</v>
      </c>
      <c r="I23" s="7">
        <f>AVERAGE(Table1456789102341112131521[No. Of Iterations Block Of Text - Run 7])</f>
        <v>552045.5</v>
      </c>
      <c r="J23" s="7">
        <f>AVERAGE(Table1456789102341112131521[No. Of Iterations Block Of Text - Run 8])</f>
        <v>553350.25</v>
      </c>
      <c r="K23" s="7">
        <f>AVERAGE(Table1456789102341112131521[No. Of Iterations Block Of Text - Run 9])</f>
        <v>550496</v>
      </c>
      <c r="L23" s="7">
        <f>AVERAGE(Table1456789102341112131521[No. Of Iterations Block Of Text - Run 10])</f>
        <v>538160.5</v>
      </c>
    </row>
    <row r="24" spans="1:12" ht="24" x14ac:dyDescent="0.4">
      <c r="A24" s="103" t="s">
        <v>124</v>
      </c>
      <c r="B24" s="103"/>
      <c r="C24" s="79">
        <f>MIN(Table1456789102341112131521[No. Of Iterations Block Of Text - Run 1])</f>
        <v>543834</v>
      </c>
      <c r="D24" s="7">
        <f>MIN(Table1456789102341112131521[No. Of Iterations Block Of Text - Run 2])</f>
        <v>545694</v>
      </c>
      <c r="E24" s="7">
        <f>MIN(Table1456789102341112131521[No. Of Iterations Block Of Text - Run 3])</f>
        <v>542126</v>
      </c>
      <c r="F24" s="7">
        <f>MIN(Table1456789102341112131521[No. Of Iterations Block Of Text - Run 4])</f>
        <v>549899</v>
      </c>
      <c r="G24" s="7">
        <f>MIN(Table1456789102341112131521[No. Of Iterations Block Of Text - Run 5])</f>
        <v>553324</v>
      </c>
      <c r="H24" s="7">
        <f>MIN(Table1456789102341112131521[No. Of Iterations Block Of Text - Run 6])</f>
        <v>553217</v>
      </c>
      <c r="I24" s="7">
        <f>MIN(Table1456789102341112131521[No. Of Iterations Block Of Text - Run 7])</f>
        <v>548555</v>
      </c>
      <c r="J24" s="7">
        <f>MIN(Table1456789102341112131521[No. Of Iterations Block Of Text - Run 8])</f>
        <v>548895</v>
      </c>
      <c r="K24" s="7">
        <f>MIN(Table1456789102341112131521[No. Of Iterations Block Of Text - Run 9])</f>
        <v>543923</v>
      </c>
      <c r="L24" s="7">
        <f>MIN(Table1456789102341112131521[No. Of Iterations Block Of Text - Run 10])</f>
        <v>534339</v>
      </c>
    </row>
    <row r="25" spans="1:12" ht="24" x14ac:dyDescent="0.4">
      <c r="A25" s="103" t="s">
        <v>125</v>
      </c>
      <c r="B25" s="133"/>
      <c r="C25" s="79">
        <f>MAX(Table1456789102341112131521[No. Of Iterations Block Of Text - Run 1])</f>
        <v>554794</v>
      </c>
      <c r="D25" s="7">
        <f>MAX(Table1456789102341112131521[No. Of Iterations Block Of Text - Run 2])</f>
        <v>554189</v>
      </c>
      <c r="E25" s="7">
        <f>MAX(Table1456789102341112131521[No. Of Iterations Block Of Text - Run 3])</f>
        <v>552756</v>
      </c>
      <c r="F25" s="7">
        <f>MAX(Table1456789102341112131521[No. Of Iterations Block Of Text - Run 4])</f>
        <v>554345</v>
      </c>
      <c r="G25" s="7">
        <f>MAX(Table1456789102341112131521[No. Of Iterations Block Of Text - Run 5])</f>
        <v>562822</v>
      </c>
      <c r="H25" s="7">
        <f>MAX(Table1456789102341112131521[No. Of Iterations Block Of Text - Run 6])</f>
        <v>558573</v>
      </c>
      <c r="I25" s="7">
        <f>MAX(Table1456789102341112131521[No. Of Iterations Block Of Text - Run 7])</f>
        <v>555215</v>
      </c>
      <c r="J25" s="7">
        <f>MAX(Table1456789102341112131521[No. Of Iterations Block Of Text - Run 8])</f>
        <v>559017</v>
      </c>
      <c r="K25" s="7">
        <f>MAX(Table1456789102341112131521[No. Of Iterations Block Of Text - Run 9])</f>
        <v>553412</v>
      </c>
      <c r="L25" s="7">
        <f>MAX(Table1456789102341112131521[No. Of Iterations Block Of Text - Run 10])</f>
        <v>544346</v>
      </c>
    </row>
    <row r="26" spans="1:12" ht="24" x14ac:dyDescent="0.4">
      <c r="A26" s="103" t="s">
        <v>126</v>
      </c>
      <c r="B26" s="133"/>
      <c r="C26" s="79">
        <f>C25-C24</f>
        <v>10960</v>
      </c>
      <c r="D26" s="7">
        <f t="shared" ref="D26" si="2">D25-D24</f>
        <v>8495</v>
      </c>
      <c r="E26" s="7">
        <f>E25-E24</f>
        <v>10630</v>
      </c>
      <c r="F26" s="7">
        <f>F25-F24</f>
        <v>4446</v>
      </c>
      <c r="G26" s="7">
        <f t="shared" ref="G26:L26" si="3">G25-G24</f>
        <v>9498</v>
      </c>
      <c r="H26" s="7">
        <f t="shared" si="3"/>
        <v>5356</v>
      </c>
      <c r="I26" s="7">
        <f t="shared" si="3"/>
        <v>6660</v>
      </c>
      <c r="J26" s="7">
        <f t="shared" si="3"/>
        <v>10122</v>
      </c>
      <c r="K26" s="7">
        <f t="shared" si="3"/>
        <v>9489</v>
      </c>
      <c r="L26" s="7">
        <f t="shared" si="3"/>
        <v>10007</v>
      </c>
    </row>
    <row r="27" spans="1:12" ht="24" x14ac:dyDescent="0.4">
      <c r="A27" s="103" t="s">
        <v>127</v>
      </c>
      <c r="B27" s="133"/>
      <c r="C27" s="83">
        <f>C26/C24</f>
        <v>2.0153208515833874E-2</v>
      </c>
      <c r="D27" s="84">
        <f t="shared" ref="D27:L27" si="4">D26/D24</f>
        <v>1.5567332607651908E-2</v>
      </c>
      <c r="E27" s="84">
        <f t="shared" si="4"/>
        <v>1.9607987810951698E-2</v>
      </c>
      <c r="F27" s="84">
        <f t="shared" si="4"/>
        <v>8.085121085872133E-3</v>
      </c>
      <c r="G27" s="84">
        <f t="shared" si="4"/>
        <v>1.7165349776984189E-2</v>
      </c>
      <c r="H27" s="84">
        <f t="shared" si="4"/>
        <v>9.6815535314352229E-3</v>
      </c>
      <c r="I27" s="84">
        <f t="shared" si="4"/>
        <v>1.2140988597314764E-2</v>
      </c>
      <c r="J27" s="84">
        <f t="shared" si="4"/>
        <v>1.8440685376984668E-2</v>
      </c>
      <c r="K27" s="84">
        <f t="shared" si="4"/>
        <v>1.7445484011523689E-2</v>
      </c>
      <c r="L27" s="84">
        <f t="shared" si="4"/>
        <v>1.8727811370684154E-2</v>
      </c>
    </row>
    <row r="28" spans="1:12" ht="31.5" x14ac:dyDescent="0.5">
      <c r="A28" s="103" t="s">
        <v>128</v>
      </c>
      <c r="B28" s="133"/>
      <c r="C28" s="85">
        <f>MIN(C27:L27)</f>
        <v>8.085121085872133E-3</v>
      </c>
      <c r="D28" s="7"/>
      <c r="E28" s="7"/>
      <c r="F28" s="7"/>
      <c r="G28" s="7"/>
      <c r="H28" s="7"/>
      <c r="I28" s="7"/>
      <c r="J28" s="7"/>
      <c r="K28" s="7"/>
      <c r="L28" s="7"/>
    </row>
    <row r="29" spans="1:12" ht="31.5" x14ac:dyDescent="0.5">
      <c r="A29" s="103" t="s">
        <v>129</v>
      </c>
      <c r="B29" s="133"/>
      <c r="C29" s="85">
        <f>MAX(C27:L27)</f>
        <v>2.0153208515833874E-2</v>
      </c>
      <c r="D29" s="7"/>
      <c r="E29" s="7"/>
      <c r="F29" s="7"/>
      <c r="G29" s="7"/>
      <c r="H29" s="7"/>
      <c r="I29" s="7"/>
      <c r="J29" s="7"/>
      <c r="K29" s="7"/>
      <c r="L29" s="7"/>
    </row>
    <row r="30" spans="1:12" ht="24" x14ac:dyDescent="0.4">
      <c r="A30" s="103" t="s">
        <v>130</v>
      </c>
      <c r="B30" s="133"/>
      <c r="C30" s="84">
        <f>AVERAGE(C27:L27)</f>
        <v>1.5701552268523631E-2</v>
      </c>
    </row>
    <row r="31" spans="1:12" ht="24" x14ac:dyDescent="0.4">
      <c r="A31" s="103" t="s">
        <v>138</v>
      </c>
      <c r="B31" s="133"/>
      <c r="C31" s="59">
        <f>AVERAGE(C23:L23)</f>
        <v>550682.4</v>
      </c>
    </row>
  </sheetData>
  <mergeCells count="20">
    <mergeCell ref="A31:B31"/>
    <mergeCell ref="A25:B25"/>
    <mergeCell ref="A26:B26"/>
    <mergeCell ref="A27:B27"/>
    <mergeCell ref="A28:B28"/>
    <mergeCell ref="A29:B29"/>
    <mergeCell ref="A30:B30"/>
    <mergeCell ref="A24:B24"/>
    <mergeCell ref="A15:B15"/>
    <mergeCell ref="B1:L1"/>
    <mergeCell ref="A7:B7"/>
    <mergeCell ref="A8:B8"/>
    <mergeCell ref="A9:B9"/>
    <mergeCell ref="A10:B10"/>
    <mergeCell ref="A11:B11"/>
    <mergeCell ref="A12:B12"/>
    <mergeCell ref="A13:B13"/>
    <mergeCell ref="A14:B14"/>
    <mergeCell ref="B17:L17"/>
    <mergeCell ref="A23:B23"/>
  </mergeCells>
  <conditionalFormatting sqref="C3:L6">
    <cfRule type="dataBar" priority="1">
      <dataBar>
        <cfvo type="min"/>
        <cfvo type="max"/>
        <color rgb="FFFFB628"/>
      </dataBar>
      <extLst>
        <ext xmlns:x14="http://schemas.microsoft.com/office/spreadsheetml/2009/9/main" uri="{B025F937-C7B1-47D3-B67F-A62EFF666E3E}">
          <x14:id>{2BE8269F-5A1B-4FCE-9D73-0105F447CAB5}</x14:id>
        </ext>
      </extLst>
    </cfRule>
  </conditionalFormatting>
  <conditionalFormatting sqref="C19:L22">
    <cfRule type="dataBar" priority="2">
      <dataBar>
        <cfvo type="min"/>
        <cfvo type="max"/>
        <color rgb="FF638EC6"/>
      </dataBar>
      <extLst>
        <ext xmlns:x14="http://schemas.microsoft.com/office/spreadsheetml/2009/9/main" uri="{B025F937-C7B1-47D3-B67F-A62EFF666E3E}">
          <x14:id>{E22DDC10-0521-4863-9975-FE28EDC1781A}</x14:id>
        </ext>
      </extLst>
    </cfRule>
  </conditionalFormatting>
  <pageMargins left="0.7" right="0.7" top="0.75" bottom="0.75" header="0.3" footer="0.3"/>
  <pageSetup paperSize="9" orientation="portrait" r:id="rId1"/>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2BE8269F-5A1B-4FCE-9D73-0105F447CAB5}">
            <x14:dataBar minLength="0" maxLength="100" border="1" negativeBarBorderColorSameAsPositive="0">
              <x14:cfvo type="autoMin"/>
              <x14:cfvo type="autoMax"/>
              <x14:borderColor rgb="FFFFB628"/>
              <x14:negativeFillColor rgb="FFFF0000"/>
              <x14:negativeBorderColor rgb="FFFF0000"/>
              <x14:axisColor rgb="FF000000"/>
            </x14:dataBar>
          </x14:cfRule>
          <xm:sqref>C3:L6</xm:sqref>
        </x14:conditionalFormatting>
        <x14:conditionalFormatting xmlns:xm="http://schemas.microsoft.com/office/excel/2006/main">
          <x14:cfRule type="dataBar" id="{E22DDC10-0521-4863-9975-FE28EDC1781A}">
            <x14:dataBar minLength="0" maxLength="100" gradient="0">
              <x14:cfvo type="autoMin"/>
              <x14:cfvo type="autoMax"/>
              <x14:negativeFillColor rgb="FFFF0000"/>
              <x14:axisColor rgb="FF000000"/>
            </x14:dataBar>
          </x14:cfRule>
          <xm:sqref>C19:L22</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2C1E4-08EC-4B09-A7DF-EE750AC0D94A}">
  <dimension ref="A1:L43"/>
  <sheetViews>
    <sheetView topLeftCell="A21" zoomScaleNormal="100" workbookViewId="0">
      <selection activeCell="A30" sqref="A30"/>
    </sheetView>
  </sheetViews>
  <sheetFormatPr defaultColWidth="8.85546875" defaultRowHeight="15" x14ac:dyDescent="0.25"/>
  <cols>
    <col min="1" max="1" width="70.7109375" style="1" customWidth="1"/>
    <col min="2" max="2" width="10.7109375" style="3" customWidth="1"/>
    <col min="3" max="12" width="15.7109375" style="1" customWidth="1"/>
    <col min="13" max="16384" width="8.85546875" style="1"/>
  </cols>
  <sheetData>
    <row r="1" spans="1:12" ht="26.25" customHeight="1" x14ac:dyDescent="0.25">
      <c r="B1" s="108" t="s">
        <v>135</v>
      </c>
      <c r="C1" s="108"/>
      <c r="D1" s="108"/>
      <c r="E1" s="108"/>
      <c r="F1" s="108"/>
      <c r="G1" s="108"/>
      <c r="H1" s="108"/>
      <c r="I1" s="108"/>
      <c r="J1" s="108"/>
      <c r="K1" s="108"/>
      <c r="L1" s="108"/>
    </row>
    <row r="2" spans="1:12" ht="45" x14ac:dyDescent="0.25">
      <c r="B2" s="14" t="s">
        <v>0</v>
      </c>
      <c r="C2" s="2" t="s">
        <v>113</v>
      </c>
      <c r="D2" s="2" t="s">
        <v>114</v>
      </c>
      <c r="E2" s="2" t="s">
        <v>115</v>
      </c>
      <c r="F2" s="2" t="s">
        <v>116</v>
      </c>
      <c r="G2" s="2" t="s">
        <v>117</v>
      </c>
      <c r="H2" s="2" t="s">
        <v>118</v>
      </c>
      <c r="I2" s="2" t="s">
        <v>119</v>
      </c>
      <c r="J2" s="2" t="s">
        <v>120</v>
      </c>
      <c r="K2" s="2" t="s">
        <v>121</v>
      </c>
      <c r="L2" s="2" t="s">
        <v>122</v>
      </c>
    </row>
    <row r="3" spans="1:12" x14ac:dyDescent="0.25">
      <c r="B3" s="64">
        <v>1</v>
      </c>
      <c r="C3" s="78">
        <v>307207</v>
      </c>
      <c r="D3" s="78">
        <v>314225</v>
      </c>
      <c r="E3" s="78">
        <v>295322</v>
      </c>
      <c r="F3" s="78">
        <v>312466</v>
      </c>
      <c r="G3" s="78">
        <v>323485</v>
      </c>
      <c r="H3" s="78">
        <v>334451</v>
      </c>
      <c r="I3" s="78">
        <v>333337</v>
      </c>
      <c r="J3" s="78">
        <v>345797</v>
      </c>
      <c r="K3" s="78">
        <v>356583</v>
      </c>
      <c r="L3" s="78">
        <v>313313</v>
      </c>
    </row>
    <row r="4" spans="1:12" x14ac:dyDescent="0.25">
      <c r="B4" s="64">
        <v>2</v>
      </c>
      <c r="C4" s="78">
        <v>354929</v>
      </c>
      <c r="D4" s="78">
        <v>336554</v>
      </c>
      <c r="E4" s="78">
        <v>334456</v>
      </c>
      <c r="F4" s="78">
        <v>306711</v>
      </c>
      <c r="G4" s="78">
        <v>314948</v>
      </c>
      <c r="H4" s="78">
        <v>346503</v>
      </c>
      <c r="I4" s="78">
        <v>300777</v>
      </c>
      <c r="J4" s="78">
        <v>353808</v>
      </c>
      <c r="K4" s="78">
        <v>343497</v>
      </c>
      <c r="L4" s="78">
        <v>363377</v>
      </c>
    </row>
    <row r="5" spans="1:12" x14ac:dyDescent="0.25">
      <c r="B5" s="64">
        <v>3</v>
      </c>
      <c r="C5" s="78">
        <v>371388</v>
      </c>
      <c r="D5" s="78">
        <v>331256</v>
      </c>
      <c r="E5" s="78">
        <v>380727</v>
      </c>
      <c r="F5" s="78">
        <v>356752</v>
      </c>
      <c r="G5" s="78">
        <v>339828</v>
      </c>
      <c r="H5" s="78">
        <v>330245</v>
      </c>
      <c r="I5" s="78">
        <v>349643</v>
      </c>
      <c r="J5" s="78">
        <v>339764</v>
      </c>
      <c r="K5" s="78">
        <v>293115</v>
      </c>
      <c r="L5" s="78">
        <v>335500</v>
      </c>
    </row>
    <row r="6" spans="1:12" x14ac:dyDescent="0.25">
      <c r="B6" s="64">
        <v>4</v>
      </c>
      <c r="C6" s="78">
        <v>340462</v>
      </c>
      <c r="D6" s="78">
        <v>327722</v>
      </c>
      <c r="E6" s="78">
        <v>338027</v>
      </c>
      <c r="F6" s="78">
        <v>325490</v>
      </c>
      <c r="G6" s="78">
        <v>360229</v>
      </c>
      <c r="H6" s="78">
        <v>326675</v>
      </c>
      <c r="I6" s="78">
        <v>302714</v>
      </c>
      <c r="J6" s="78">
        <v>354336</v>
      </c>
      <c r="K6" s="78">
        <v>337777</v>
      </c>
      <c r="L6" s="78">
        <v>357699</v>
      </c>
    </row>
    <row r="7" spans="1:12" x14ac:dyDescent="0.25">
      <c r="B7" s="64">
        <v>5</v>
      </c>
      <c r="C7" s="78">
        <v>318146</v>
      </c>
      <c r="D7" s="78">
        <v>333633</v>
      </c>
      <c r="E7" s="78">
        <v>336628</v>
      </c>
      <c r="F7" s="78">
        <v>335783</v>
      </c>
      <c r="G7" s="78">
        <v>344436</v>
      </c>
      <c r="H7" s="78">
        <v>294037</v>
      </c>
      <c r="I7" s="78">
        <v>326818</v>
      </c>
      <c r="J7" s="78">
        <v>369807</v>
      </c>
      <c r="K7" s="78">
        <v>337848</v>
      </c>
      <c r="L7" s="78">
        <v>358432</v>
      </c>
    </row>
    <row r="8" spans="1:12" x14ac:dyDescent="0.25">
      <c r="B8" s="64">
        <v>6</v>
      </c>
      <c r="C8" s="78">
        <v>368084</v>
      </c>
      <c r="D8" s="78">
        <v>295318</v>
      </c>
      <c r="E8" s="78">
        <v>329156</v>
      </c>
      <c r="F8" s="78">
        <v>330929</v>
      </c>
      <c r="G8" s="78">
        <v>350899</v>
      </c>
      <c r="H8" s="78">
        <v>356368</v>
      </c>
      <c r="I8" s="78">
        <v>313691</v>
      </c>
      <c r="J8" s="78">
        <v>353810</v>
      </c>
      <c r="K8" s="78">
        <v>326939</v>
      </c>
      <c r="L8" s="78">
        <v>305070</v>
      </c>
    </row>
    <row r="9" spans="1:12" x14ac:dyDescent="0.25">
      <c r="B9" s="64">
        <v>7</v>
      </c>
      <c r="C9" s="78">
        <v>312390</v>
      </c>
      <c r="D9" s="78">
        <v>333344</v>
      </c>
      <c r="E9" s="78">
        <v>330445</v>
      </c>
      <c r="F9" s="78">
        <v>355237</v>
      </c>
      <c r="G9" s="78">
        <v>327546</v>
      </c>
      <c r="H9" s="78">
        <v>346822</v>
      </c>
      <c r="I9" s="78">
        <v>352005</v>
      </c>
      <c r="J9" s="78">
        <v>303776</v>
      </c>
      <c r="K9" s="78">
        <v>361016</v>
      </c>
      <c r="L9" s="78">
        <v>361331</v>
      </c>
    </row>
    <row r="10" spans="1:12" x14ac:dyDescent="0.25">
      <c r="B10" s="64">
        <v>8</v>
      </c>
      <c r="C10" s="78">
        <v>338344</v>
      </c>
      <c r="D10" s="78">
        <v>334395</v>
      </c>
      <c r="E10" s="78">
        <v>297582</v>
      </c>
      <c r="F10" s="78">
        <v>340994</v>
      </c>
      <c r="G10" s="78">
        <v>369226</v>
      </c>
      <c r="H10" s="78">
        <v>268139</v>
      </c>
      <c r="I10" s="78">
        <v>337235</v>
      </c>
      <c r="J10" s="78">
        <v>339242</v>
      </c>
      <c r="K10" s="78">
        <v>340693</v>
      </c>
      <c r="L10" s="78">
        <v>347313</v>
      </c>
    </row>
    <row r="11" spans="1:12" x14ac:dyDescent="0.25">
      <c r="B11" s="64">
        <v>9</v>
      </c>
      <c r="C11" s="78">
        <v>346802</v>
      </c>
      <c r="D11" s="78">
        <v>313185</v>
      </c>
      <c r="E11" s="78">
        <v>340194</v>
      </c>
      <c r="F11" s="78">
        <v>323455</v>
      </c>
      <c r="G11" s="78">
        <v>336289</v>
      </c>
      <c r="H11" s="78">
        <v>363135</v>
      </c>
      <c r="I11" s="78">
        <v>303451</v>
      </c>
      <c r="J11" s="78">
        <v>330679</v>
      </c>
      <c r="K11" s="78">
        <v>307369</v>
      </c>
      <c r="L11" s="78">
        <v>331269</v>
      </c>
    </row>
    <row r="12" spans="1:12" x14ac:dyDescent="0.25">
      <c r="B12" s="64">
        <v>10</v>
      </c>
      <c r="C12" s="78">
        <v>310787</v>
      </c>
      <c r="D12" s="78">
        <v>332277</v>
      </c>
      <c r="E12" s="78">
        <v>347325</v>
      </c>
      <c r="F12" s="78">
        <v>333108</v>
      </c>
      <c r="G12" s="78">
        <v>335363</v>
      </c>
      <c r="H12" s="78">
        <v>310347</v>
      </c>
      <c r="I12" s="78">
        <v>348561</v>
      </c>
      <c r="J12" s="78">
        <v>314484</v>
      </c>
      <c r="K12" s="78">
        <v>317381</v>
      </c>
      <c r="L12" s="78">
        <v>331267</v>
      </c>
    </row>
    <row r="13" spans="1:12" ht="24" customHeight="1" x14ac:dyDescent="0.4">
      <c r="A13" s="103" t="s">
        <v>123</v>
      </c>
      <c r="B13" s="103"/>
      <c r="C13" s="79">
        <f>AVERAGE(Table145678910234111224[No. Of Iterations Block Of Text - Run 1])</f>
        <v>336853.9</v>
      </c>
      <c r="D13" s="7">
        <f>AVERAGE(Table145678910234111224[No. Of Iterations Block Of Text - Run 2])</f>
        <v>325190.90000000002</v>
      </c>
      <c r="E13" s="7">
        <f>AVERAGE(Table145678910234111224[No. Of Iterations Block Of Text - Run 3])</f>
        <v>332986.2</v>
      </c>
      <c r="F13" s="7">
        <f>AVERAGE(Table145678910234111224[No. Of Iterations Block Of Text - Run 4])</f>
        <v>332092.5</v>
      </c>
      <c r="G13" s="7">
        <f>AVERAGE(Table145678910234111224[No. Of Iterations Block Of Text - Run 5])</f>
        <v>340224.9</v>
      </c>
      <c r="H13" s="7">
        <f>AVERAGE(Table145678910234111224[No. Of Iterations Block Of Text - Run 6])</f>
        <v>327672.2</v>
      </c>
      <c r="I13" s="7">
        <f>AVERAGE(Table145678910234111224[No. Of Iterations Block Of Text - Run 7])</f>
        <v>326823.2</v>
      </c>
      <c r="J13" s="7">
        <f>AVERAGE(Table145678910234111224[No. Of Iterations Block Of Text - Run 8])</f>
        <v>340550.3</v>
      </c>
      <c r="K13" s="7">
        <f>AVERAGE(Table145678910234111224[No. Of Iterations Block Of Text - Run 9])</f>
        <v>332221.8</v>
      </c>
      <c r="L13" s="7">
        <f>AVERAGE(Table145678910234111224[No. Of Iterations Block Of Text - Run 10])</f>
        <v>340457.1</v>
      </c>
    </row>
    <row r="14" spans="1:12" ht="24" x14ac:dyDescent="0.4">
      <c r="A14" s="103" t="s">
        <v>124</v>
      </c>
      <c r="B14" s="103"/>
      <c r="C14" s="79">
        <f>MIN(Table145678910234111224[No. Of Iterations Block Of Text - Run 1])</f>
        <v>307207</v>
      </c>
      <c r="D14" s="7">
        <f>MIN(Table145678910234111224[No. Of Iterations Block Of Text - Run 2])</f>
        <v>295318</v>
      </c>
      <c r="E14" s="7">
        <f>MIN(Table145678910234111224[No. Of Iterations Block Of Text - Run 3])</f>
        <v>295322</v>
      </c>
      <c r="F14" s="7">
        <f>MIN(Table145678910234111224[No. Of Iterations Block Of Text - Run 4])</f>
        <v>306711</v>
      </c>
      <c r="G14" s="7">
        <f>MIN(Table145678910234111224[No. Of Iterations Block Of Text - Run 5])</f>
        <v>314948</v>
      </c>
      <c r="H14" s="7">
        <f>MIN(Table145678910234111224[No. Of Iterations Block Of Text - Run 6])</f>
        <v>268139</v>
      </c>
      <c r="I14" s="7">
        <f>MIN(Table145678910234111224[No. Of Iterations Block Of Text - Run 7])</f>
        <v>300777</v>
      </c>
      <c r="J14" s="7">
        <f>MIN(Table145678910234111224[No. Of Iterations Block Of Text - Run 8])</f>
        <v>303776</v>
      </c>
      <c r="K14" s="7">
        <f>MIN(Table145678910234111224[No. Of Iterations Block Of Text - Run 9])</f>
        <v>293115</v>
      </c>
      <c r="L14" s="7">
        <f>MIN(Table145678910234111224[No. Of Iterations Block Of Text - Run 10])</f>
        <v>305070</v>
      </c>
    </row>
    <row r="15" spans="1:12" ht="24" x14ac:dyDescent="0.4">
      <c r="A15" s="103" t="s">
        <v>125</v>
      </c>
      <c r="B15" s="133"/>
      <c r="C15" s="79">
        <f>MAX(Table145678910234111224[No. Of Iterations Block Of Text - Run 1])</f>
        <v>371388</v>
      </c>
      <c r="D15" s="7">
        <f>MAX(Table145678910234111224[No. Of Iterations Block Of Text - Run 2])</f>
        <v>336554</v>
      </c>
      <c r="E15" s="7">
        <f>MAX(Table145678910234111224[No. Of Iterations Block Of Text - Run 3])</f>
        <v>380727</v>
      </c>
      <c r="F15" s="7">
        <f>MAX(Table145678910234111224[No. Of Iterations Block Of Text - Run 4])</f>
        <v>356752</v>
      </c>
      <c r="G15" s="7">
        <f>MAX(Table145678910234111224[No. Of Iterations Block Of Text - Run 5])</f>
        <v>369226</v>
      </c>
      <c r="H15" s="7">
        <f>MAX(Table145678910234111224[No. Of Iterations Block Of Text - Run 6])</f>
        <v>363135</v>
      </c>
      <c r="I15" s="7">
        <f>MAX(Table145678910234111224[No. Of Iterations Block Of Text - Run 7])</f>
        <v>352005</v>
      </c>
      <c r="J15" s="7">
        <f>MAX(Table145678910234111224[No. Of Iterations Block Of Text - Run 8])</f>
        <v>369807</v>
      </c>
      <c r="K15" s="7">
        <f>MAX(Table145678910234111224[No. Of Iterations Block Of Text - Run 9])</f>
        <v>361016</v>
      </c>
      <c r="L15" s="7">
        <f>MAX(Table145678910234111224[No. Of Iterations Block Of Text - Run 10])</f>
        <v>363377</v>
      </c>
    </row>
    <row r="16" spans="1:12" ht="24" x14ac:dyDescent="0.4">
      <c r="A16" s="103" t="s">
        <v>126</v>
      </c>
      <c r="B16" s="133"/>
      <c r="C16" s="79">
        <f>C15-C14</f>
        <v>64181</v>
      </c>
      <c r="D16" s="7">
        <f t="shared" ref="D16:L16" si="0">D15-D14</f>
        <v>41236</v>
      </c>
      <c r="E16" s="7">
        <f>E15-E14</f>
        <v>85405</v>
      </c>
      <c r="F16" s="7">
        <f>F15-F14</f>
        <v>50041</v>
      </c>
      <c r="G16" s="7">
        <f t="shared" si="0"/>
        <v>54278</v>
      </c>
      <c r="H16" s="7">
        <f t="shared" si="0"/>
        <v>94996</v>
      </c>
      <c r="I16" s="7">
        <f t="shared" si="0"/>
        <v>51228</v>
      </c>
      <c r="J16" s="7">
        <f t="shared" si="0"/>
        <v>66031</v>
      </c>
      <c r="K16" s="7">
        <f t="shared" si="0"/>
        <v>67901</v>
      </c>
      <c r="L16" s="7">
        <f t="shared" si="0"/>
        <v>58307</v>
      </c>
    </row>
    <row r="17" spans="1:12" ht="24" x14ac:dyDescent="0.4">
      <c r="A17" s="103" t="s">
        <v>127</v>
      </c>
      <c r="B17" s="133"/>
      <c r="C17" s="83">
        <f>C16/C14</f>
        <v>0.20891776554570696</v>
      </c>
      <c r="D17" s="84">
        <f t="shared" ref="D17:L17" si="1">D16/D14</f>
        <v>0.13963253171157872</v>
      </c>
      <c r="E17" s="84">
        <f t="shared" si="1"/>
        <v>0.28919281326822927</v>
      </c>
      <c r="F17" s="84">
        <f t="shared" si="1"/>
        <v>0.16315358757918691</v>
      </c>
      <c r="G17" s="84">
        <f t="shared" si="1"/>
        <v>0.17233956081638874</v>
      </c>
      <c r="H17" s="84">
        <f t="shared" si="1"/>
        <v>0.35427893741678756</v>
      </c>
      <c r="I17" s="84">
        <f t="shared" si="1"/>
        <v>0.17031887411603946</v>
      </c>
      <c r="J17" s="84">
        <f t="shared" si="1"/>
        <v>0.21736740229642895</v>
      </c>
      <c r="K17" s="84">
        <f t="shared" si="1"/>
        <v>0.2316531054364328</v>
      </c>
      <c r="L17" s="84">
        <f t="shared" si="1"/>
        <v>0.1911266266758449</v>
      </c>
    </row>
    <row r="18" spans="1:12" ht="31.5" x14ac:dyDescent="0.5">
      <c r="A18" s="103" t="s">
        <v>128</v>
      </c>
      <c r="B18" s="133"/>
      <c r="C18" s="85">
        <f>MIN(C17:L17)</f>
        <v>0.13963253171157872</v>
      </c>
      <c r="D18" s="7"/>
      <c r="E18" s="7"/>
      <c r="F18" s="7"/>
      <c r="G18" s="7"/>
      <c r="H18" s="7"/>
      <c r="I18" s="7"/>
      <c r="J18" s="7"/>
      <c r="K18" s="7"/>
      <c r="L18" s="7"/>
    </row>
    <row r="19" spans="1:12" ht="31.5" x14ac:dyDescent="0.5">
      <c r="A19" s="103" t="s">
        <v>129</v>
      </c>
      <c r="B19" s="133"/>
      <c r="C19" s="85">
        <f>MAX(C17:L17)</f>
        <v>0.35427893741678756</v>
      </c>
      <c r="D19" s="7"/>
      <c r="E19" s="7"/>
      <c r="F19" s="7"/>
      <c r="G19" s="7"/>
      <c r="H19" s="7"/>
      <c r="I19" s="7"/>
      <c r="J19" s="7"/>
      <c r="K19" s="7"/>
      <c r="L19" s="7"/>
    </row>
    <row r="20" spans="1:12" ht="24" x14ac:dyDescent="0.4">
      <c r="A20" s="103" t="s">
        <v>130</v>
      </c>
      <c r="B20" s="133"/>
      <c r="C20" s="84">
        <f>AVERAGE(C17:L17)</f>
        <v>0.21379812048626246</v>
      </c>
      <c r="D20" s="7"/>
      <c r="E20" s="7"/>
      <c r="F20" s="7"/>
      <c r="G20" s="7"/>
      <c r="H20" s="7"/>
      <c r="I20" s="7"/>
      <c r="J20" s="7"/>
      <c r="K20" s="7"/>
      <c r="L20" s="7"/>
    </row>
    <row r="21" spans="1:12" ht="24" x14ac:dyDescent="0.4">
      <c r="A21" s="103" t="s">
        <v>138</v>
      </c>
      <c r="B21" s="133"/>
      <c r="C21" s="59">
        <f>AVERAGE(C13:L13)</f>
        <v>333507.29999999993</v>
      </c>
    </row>
    <row r="22" spans="1:12" x14ac:dyDescent="0.25">
      <c r="A22" s="9"/>
      <c r="B22" s="9"/>
    </row>
    <row r="23" spans="1:12" ht="26.25" x14ac:dyDescent="0.25">
      <c r="B23" s="108" t="s">
        <v>136</v>
      </c>
      <c r="C23" s="108"/>
      <c r="D23" s="108"/>
      <c r="E23" s="108"/>
      <c r="F23" s="108"/>
      <c r="G23" s="108"/>
      <c r="H23" s="108"/>
      <c r="I23" s="108"/>
      <c r="J23" s="108"/>
      <c r="K23" s="108"/>
      <c r="L23" s="108"/>
    </row>
    <row r="24" spans="1:12" ht="45" x14ac:dyDescent="0.25">
      <c r="B24" s="14" t="s">
        <v>0</v>
      </c>
      <c r="C24" s="2" t="s">
        <v>113</v>
      </c>
      <c r="D24" s="2" t="s">
        <v>114</v>
      </c>
      <c r="E24" s="2" t="s">
        <v>115</v>
      </c>
      <c r="F24" s="2" t="s">
        <v>116</v>
      </c>
      <c r="G24" s="2" t="s">
        <v>117</v>
      </c>
      <c r="H24" s="2" t="s">
        <v>118</v>
      </c>
      <c r="I24" s="2" t="s">
        <v>119</v>
      </c>
      <c r="J24" s="2" t="s">
        <v>120</v>
      </c>
      <c r="K24" s="2" t="s">
        <v>121</v>
      </c>
      <c r="L24" s="2" t="s">
        <v>122</v>
      </c>
    </row>
    <row r="25" spans="1:12" x14ac:dyDescent="0.25">
      <c r="B25" s="64">
        <v>1</v>
      </c>
      <c r="C25" s="78">
        <v>339746</v>
      </c>
      <c r="D25" s="78">
        <v>329027</v>
      </c>
      <c r="E25" s="78">
        <v>367524</v>
      </c>
      <c r="F25" s="78">
        <v>328187</v>
      </c>
      <c r="G25" s="78">
        <v>356320</v>
      </c>
      <c r="H25" s="78">
        <v>343432</v>
      </c>
      <c r="I25" s="78">
        <v>348723</v>
      </c>
      <c r="J25" s="78">
        <v>374244</v>
      </c>
      <c r="K25" s="78">
        <v>350540</v>
      </c>
      <c r="L25" s="78">
        <v>364914</v>
      </c>
    </row>
    <row r="26" spans="1:12" x14ac:dyDescent="0.25">
      <c r="B26" s="64">
        <v>2</v>
      </c>
      <c r="C26" s="78">
        <v>344445</v>
      </c>
      <c r="D26" s="78">
        <v>361629</v>
      </c>
      <c r="E26" s="78">
        <v>358075</v>
      </c>
      <c r="F26" s="78">
        <v>373498</v>
      </c>
      <c r="G26" s="78">
        <v>335936</v>
      </c>
      <c r="H26" s="78">
        <v>350969</v>
      </c>
      <c r="I26" s="78">
        <v>346539</v>
      </c>
      <c r="J26" s="78">
        <v>355067</v>
      </c>
      <c r="K26" s="78">
        <v>356398</v>
      </c>
      <c r="L26" s="78">
        <v>380967</v>
      </c>
    </row>
    <row r="27" spans="1:12" x14ac:dyDescent="0.25">
      <c r="B27" s="64">
        <v>3</v>
      </c>
      <c r="C27" s="78">
        <v>362813</v>
      </c>
      <c r="D27" s="78">
        <v>305887</v>
      </c>
      <c r="E27" s="78">
        <v>392378</v>
      </c>
      <c r="F27" s="78">
        <v>379267</v>
      </c>
      <c r="G27" s="78">
        <v>333293</v>
      </c>
      <c r="H27" s="78">
        <v>349587</v>
      </c>
      <c r="I27" s="78">
        <v>370230</v>
      </c>
      <c r="J27" s="78">
        <v>352954</v>
      </c>
      <c r="K27" s="78">
        <v>360086</v>
      </c>
      <c r="L27" s="78">
        <v>347181</v>
      </c>
    </row>
    <row r="28" spans="1:12" x14ac:dyDescent="0.25">
      <c r="B28" s="64">
        <v>4</v>
      </c>
      <c r="C28" s="78">
        <v>356464</v>
      </c>
      <c r="D28" s="78">
        <v>348144</v>
      </c>
      <c r="E28" s="78">
        <v>325720</v>
      </c>
      <c r="F28" s="78">
        <v>379332</v>
      </c>
      <c r="G28" s="78">
        <v>380274</v>
      </c>
      <c r="H28" s="78">
        <v>389689</v>
      </c>
      <c r="I28" s="78">
        <v>314758</v>
      </c>
      <c r="J28" s="78">
        <v>356992</v>
      </c>
      <c r="K28" s="78">
        <v>366721</v>
      </c>
      <c r="L28" s="78">
        <v>360294</v>
      </c>
    </row>
    <row r="29" spans="1:12" x14ac:dyDescent="0.25">
      <c r="B29" s="64">
        <v>5</v>
      </c>
      <c r="C29" s="78">
        <v>372486</v>
      </c>
      <c r="D29" s="78">
        <v>377324</v>
      </c>
      <c r="E29" s="78">
        <v>338449</v>
      </c>
      <c r="F29" s="78">
        <v>359828</v>
      </c>
      <c r="G29" s="78">
        <v>333384</v>
      </c>
      <c r="H29" s="78">
        <v>347978</v>
      </c>
      <c r="I29" s="78">
        <v>329974</v>
      </c>
      <c r="J29" s="78">
        <v>379129</v>
      </c>
      <c r="K29" s="78">
        <v>345900</v>
      </c>
      <c r="L29" s="78">
        <v>379554</v>
      </c>
    </row>
    <row r="30" spans="1:12" x14ac:dyDescent="0.25">
      <c r="B30" s="64">
        <v>6</v>
      </c>
      <c r="C30" s="78">
        <v>319521</v>
      </c>
      <c r="D30" s="78">
        <v>375775</v>
      </c>
      <c r="E30" s="78">
        <v>341437</v>
      </c>
      <c r="F30" s="78">
        <v>335359</v>
      </c>
      <c r="G30" s="78">
        <v>367586</v>
      </c>
      <c r="H30" s="78">
        <v>355575</v>
      </c>
      <c r="I30" s="78">
        <v>345395</v>
      </c>
      <c r="J30" s="78">
        <v>301105</v>
      </c>
      <c r="K30" s="78">
        <v>292506</v>
      </c>
      <c r="L30" s="78">
        <v>345579</v>
      </c>
    </row>
    <row r="31" spans="1:12" x14ac:dyDescent="0.25">
      <c r="B31" s="64">
        <v>7</v>
      </c>
      <c r="C31" s="78">
        <v>351867</v>
      </c>
      <c r="D31" s="78">
        <v>360051</v>
      </c>
      <c r="E31" s="78">
        <v>384267</v>
      </c>
      <c r="F31" s="78">
        <v>322107</v>
      </c>
      <c r="G31" s="78">
        <v>333215</v>
      </c>
      <c r="H31" s="78">
        <v>346816</v>
      </c>
      <c r="I31" s="78">
        <v>342057</v>
      </c>
      <c r="J31" s="78">
        <v>374404</v>
      </c>
      <c r="K31" s="78">
        <v>344972</v>
      </c>
      <c r="L31" s="78">
        <v>367661</v>
      </c>
    </row>
    <row r="32" spans="1:12" x14ac:dyDescent="0.25">
      <c r="B32" s="64">
        <v>8</v>
      </c>
      <c r="C32" s="78">
        <v>360415</v>
      </c>
      <c r="D32" s="78">
        <v>343180</v>
      </c>
      <c r="E32" s="78">
        <v>372696</v>
      </c>
      <c r="F32" s="78">
        <v>330011</v>
      </c>
      <c r="G32" s="78">
        <v>340046</v>
      </c>
      <c r="H32" s="78">
        <v>366747</v>
      </c>
      <c r="I32" s="78">
        <v>336777</v>
      </c>
      <c r="J32" s="78">
        <v>380744</v>
      </c>
      <c r="K32" s="78">
        <v>383934</v>
      </c>
      <c r="L32" s="78">
        <v>332152</v>
      </c>
    </row>
    <row r="33" spans="1:12" x14ac:dyDescent="0.25">
      <c r="B33" s="64">
        <v>9</v>
      </c>
      <c r="C33" s="78">
        <v>348902</v>
      </c>
      <c r="D33" s="78">
        <v>373203</v>
      </c>
      <c r="E33" s="78">
        <v>314918</v>
      </c>
      <c r="F33" s="78">
        <v>342262</v>
      </c>
      <c r="G33" s="78">
        <v>355388</v>
      </c>
      <c r="H33" s="78">
        <v>363839</v>
      </c>
      <c r="I33" s="78">
        <v>350138</v>
      </c>
      <c r="J33" s="78">
        <v>296171</v>
      </c>
      <c r="K33" s="78">
        <v>362480</v>
      </c>
      <c r="L33" s="78">
        <v>382286</v>
      </c>
    </row>
    <row r="34" spans="1:12" x14ac:dyDescent="0.25">
      <c r="B34" s="64">
        <v>10</v>
      </c>
      <c r="C34" s="78">
        <v>326463</v>
      </c>
      <c r="D34" s="78">
        <v>382246</v>
      </c>
      <c r="E34" s="78">
        <v>373298</v>
      </c>
      <c r="F34" s="78">
        <v>369253</v>
      </c>
      <c r="G34" s="78">
        <v>362980</v>
      </c>
      <c r="H34" s="78">
        <v>344975</v>
      </c>
      <c r="I34" s="78">
        <v>389330</v>
      </c>
      <c r="J34" s="78">
        <v>334506</v>
      </c>
      <c r="K34" s="78">
        <v>378469</v>
      </c>
      <c r="L34" s="78">
        <v>360190</v>
      </c>
    </row>
    <row r="35" spans="1:12" ht="24" x14ac:dyDescent="0.4">
      <c r="A35" s="103" t="s">
        <v>123</v>
      </c>
      <c r="B35" s="103"/>
      <c r="C35" s="79">
        <f>AVERAGE(Table14567891023411121325[No. Of Iterations Block Of Text - Run 1])</f>
        <v>348312.2</v>
      </c>
      <c r="D35" s="7">
        <f>AVERAGE(Table14567891023411121325[No. Of Iterations Block Of Text - Run 2])</f>
        <v>355646.6</v>
      </c>
      <c r="E35" s="7">
        <f>AVERAGE(Table14567891023411121325[No. Of Iterations Block Of Text - Run 3])</f>
        <v>356876.2</v>
      </c>
      <c r="F35" s="7">
        <f>AVERAGE(Table14567891023411121325[No. Of Iterations Block Of Text - Run 4])</f>
        <v>351910.40000000002</v>
      </c>
      <c r="G35" s="7">
        <f>AVERAGE(Table14567891023411121325[No. Of Iterations Block Of Text - Run 5])</f>
        <v>349842.2</v>
      </c>
      <c r="H35" s="7">
        <f>AVERAGE(Table14567891023411121325[No. Of Iterations Block Of Text - Run 6])</f>
        <v>355960.7</v>
      </c>
      <c r="I35" s="7">
        <f>AVERAGE(Table14567891023411121325[No. Of Iterations Block Of Text - Run 7])</f>
        <v>347392.1</v>
      </c>
      <c r="J35" s="7">
        <f>AVERAGE(Table14567891023411121325[No. Of Iterations Block Of Text - Run 8])</f>
        <v>350531.6</v>
      </c>
      <c r="K35" s="7">
        <f>AVERAGE(Table14567891023411121325[No. Of Iterations Block Of Text - Run 9])</f>
        <v>354200.6</v>
      </c>
      <c r="L35" s="7">
        <f>AVERAGE(Table14567891023411121325[No. Of Iterations Block Of Text - Run 10])</f>
        <v>362077.8</v>
      </c>
    </row>
    <row r="36" spans="1:12" ht="24" x14ac:dyDescent="0.4">
      <c r="A36" s="103" t="s">
        <v>124</v>
      </c>
      <c r="B36" s="103"/>
      <c r="C36" s="79">
        <f>MIN(Table14567891023411121325[No. Of Iterations Block Of Text - Run 1])</f>
        <v>319521</v>
      </c>
      <c r="D36" s="7">
        <f>MIN(Table14567891023411121325[No. Of Iterations Block Of Text - Run 2])</f>
        <v>305887</v>
      </c>
      <c r="E36" s="7">
        <f>MIN(Table14567891023411121325[No. Of Iterations Block Of Text - Run 3])</f>
        <v>314918</v>
      </c>
      <c r="F36" s="7">
        <f>MIN(Table14567891023411121325[No. Of Iterations Block Of Text - Run 4])</f>
        <v>322107</v>
      </c>
      <c r="G36" s="7">
        <f>MIN(Table14567891023411121325[No. Of Iterations Block Of Text - Run 5])</f>
        <v>333215</v>
      </c>
      <c r="H36" s="7">
        <f>MIN(Table14567891023411121325[No. Of Iterations Block Of Text - Run 6])</f>
        <v>343432</v>
      </c>
      <c r="I36" s="7">
        <f>MIN(Table14567891023411121325[No. Of Iterations Block Of Text - Run 7])</f>
        <v>314758</v>
      </c>
      <c r="J36" s="7">
        <f>MIN(Table14567891023411121325[No. Of Iterations Block Of Text - Run 8])</f>
        <v>296171</v>
      </c>
      <c r="K36" s="7">
        <f>MIN(Table14567891023411121325[No. Of Iterations Block Of Text - Run 9])</f>
        <v>292506</v>
      </c>
      <c r="L36" s="7">
        <f>MIN(Table14567891023411121325[No. Of Iterations Block Of Text - Run 10])</f>
        <v>332152</v>
      </c>
    </row>
    <row r="37" spans="1:12" ht="24" x14ac:dyDescent="0.4">
      <c r="A37" s="103" t="s">
        <v>125</v>
      </c>
      <c r="B37" s="133"/>
      <c r="C37" s="79">
        <f>MAX(Table14567891023411121325[No. Of Iterations Block Of Text - Run 1])</f>
        <v>372486</v>
      </c>
      <c r="D37" s="7">
        <f>MAX(Table14567891023411121325[No. Of Iterations Block Of Text - Run 2])</f>
        <v>382246</v>
      </c>
      <c r="E37" s="7">
        <f>MAX(Table14567891023411121325[No. Of Iterations Block Of Text - Run 3])</f>
        <v>392378</v>
      </c>
      <c r="F37" s="7">
        <f>MAX(Table14567891023411121325[No. Of Iterations Block Of Text - Run 4])</f>
        <v>379332</v>
      </c>
      <c r="G37" s="7">
        <f>MAX(Table14567891023411121325[No. Of Iterations Block Of Text - Run 5])</f>
        <v>380274</v>
      </c>
      <c r="H37" s="7">
        <f>MAX(Table14567891023411121325[No. Of Iterations Block Of Text - Run 6])</f>
        <v>389689</v>
      </c>
      <c r="I37" s="7">
        <f>MAX(Table14567891023411121325[No. Of Iterations Block Of Text - Run 7])</f>
        <v>389330</v>
      </c>
      <c r="J37" s="7">
        <f>MAX(Table14567891023411121325[No. Of Iterations Block Of Text - Run 8])</f>
        <v>380744</v>
      </c>
      <c r="K37" s="7">
        <f>MAX(Table14567891023411121325[No. Of Iterations Block Of Text - Run 9])</f>
        <v>383934</v>
      </c>
      <c r="L37" s="7">
        <f>MAX(Table14567891023411121325[No. Of Iterations Block Of Text - Run 10])</f>
        <v>382286</v>
      </c>
    </row>
    <row r="38" spans="1:12" ht="24" x14ac:dyDescent="0.4">
      <c r="A38" s="103" t="s">
        <v>126</v>
      </c>
      <c r="B38" s="133"/>
      <c r="C38" s="79">
        <f>C37-C36</f>
        <v>52965</v>
      </c>
      <c r="D38" s="7">
        <f t="shared" ref="D38" si="2">D37-D36</f>
        <v>76359</v>
      </c>
      <c r="E38" s="7">
        <f>E37-E36</f>
        <v>77460</v>
      </c>
      <c r="F38" s="7">
        <f>F37-F36</f>
        <v>57225</v>
      </c>
      <c r="G38" s="7">
        <f t="shared" ref="G38:L38" si="3">G37-G36</f>
        <v>47059</v>
      </c>
      <c r="H38" s="7">
        <f t="shared" si="3"/>
        <v>46257</v>
      </c>
      <c r="I38" s="7">
        <f t="shared" si="3"/>
        <v>74572</v>
      </c>
      <c r="J38" s="7">
        <f t="shared" si="3"/>
        <v>84573</v>
      </c>
      <c r="K38" s="7">
        <f t="shared" si="3"/>
        <v>91428</v>
      </c>
      <c r="L38" s="7">
        <f t="shared" si="3"/>
        <v>50134</v>
      </c>
    </row>
    <row r="39" spans="1:12" ht="24" x14ac:dyDescent="0.4">
      <c r="A39" s="103" t="s">
        <v>127</v>
      </c>
      <c r="B39" s="133"/>
      <c r="C39" s="83">
        <f>C38/C36</f>
        <v>0.16576375261719886</v>
      </c>
      <c r="D39" s="84">
        <f t="shared" ref="D39:L39" si="4">D38/D36</f>
        <v>0.24963139983065641</v>
      </c>
      <c r="E39" s="84">
        <f t="shared" si="4"/>
        <v>0.24596879187598042</v>
      </c>
      <c r="F39" s="84">
        <f t="shared" si="4"/>
        <v>0.17765835576376793</v>
      </c>
      <c r="G39" s="84">
        <f t="shared" si="4"/>
        <v>0.14122713563314976</v>
      </c>
      <c r="H39" s="84">
        <f t="shared" si="4"/>
        <v>0.13469041906403598</v>
      </c>
      <c r="I39" s="84">
        <f t="shared" si="4"/>
        <v>0.23691852153082685</v>
      </c>
      <c r="J39" s="84">
        <f t="shared" si="4"/>
        <v>0.28555462891370187</v>
      </c>
      <c r="K39" s="84">
        <f t="shared" si="4"/>
        <v>0.31256794732415744</v>
      </c>
      <c r="L39" s="84">
        <f t="shared" si="4"/>
        <v>0.15093692044606083</v>
      </c>
    </row>
    <row r="40" spans="1:12" ht="31.5" x14ac:dyDescent="0.5">
      <c r="A40" s="103" t="s">
        <v>128</v>
      </c>
      <c r="B40" s="133"/>
      <c r="C40" s="85">
        <f>MIN(C39:L39)</f>
        <v>0.13469041906403598</v>
      </c>
      <c r="D40" s="7"/>
      <c r="E40" s="7"/>
      <c r="F40" s="7"/>
      <c r="G40" s="7"/>
      <c r="H40" s="7"/>
      <c r="I40" s="7"/>
      <c r="J40" s="7"/>
      <c r="K40" s="7"/>
      <c r="L40" s="7"/>
    </row>
    <row r="41" spans="1:12" ht="31.5" x14ac:dyDescent="0.5">
      <c r="A41" s="103" t="s">
        <v>129</v>
      </c>
      <c r="B41" s="133"/>
      <c r="C41" s="85">
        <f>MAX(C39:L39)</f>
        <v>0.31256794732415744</v>
      </c>
      <c r="D41" s="7"/>
      <c r="E41" s="7"/>
      <c r="F41" s="7"/>
      <c r="G41" s="7"/>
      <c r="H41" s="7"/>
      <c r="I41" s="7"/>
      <c r="J41" s="7"/>
      <c r="K41" s="7"/>
      <c r="L41" s="7"/>
    </row>
    <row r="42" spans="1:12" ht="24" x14ac:dyDescent="0.4">
      <c r="A42" s="103" t="s">
        <v>130</v>
      </c>
      <c r="B42" s="133"/>
      <c r="C42" s="84">
        <f>AVERAGE(C39:L39)</f>
        <v>0.21009178729995362</v>
      </c>
    </row>
    <row r="43" spans="1:12" ht="24" x14ac:dyDescent="0.4">
      <c r="A43" s="103" t="s">
        <v>138</v>
      </c>
      <c r="B43" s="133"/>
      <c r="C43" s="59">
        <f>AVERAGE(C35:L35)</f>
        <v>353275.04</v>
      </c>
    </row>
  </sheetData>
  <mergeCells count="20">
    <mergeCell ref="A43:B43"/>
    <mergeCell ref="A37:B37"/>
    <mergeCell ref="A38:B38"/>
    <mergeCell ref="A39:B39"/>
    <mergeCell ref="A40:B40"/>
    <mergeCell ref="A41:B41"/>
    <mergeCell ref="A42:B42"/>
    <mergeCell ref="A36:B36"/>
    <mergeCell ref="A21:B21"/>
    <mergeCell ref="B1:L1"/>
    <mergeCell ref="A13:B13"/>
    <mergeCell ref="A14:B14"/>
    <mergeCell ref="A15:B15"/>
    <mergeCell ref="A16:B16"/>
    <mergeCell ref="A17:B17"/>
    <mergeCell ref="A18:B18"/>
    <mergeCell ref="A19:B19"/>
    <mergeCell ref="A20:B20"/>
    <mergeCell ref="B23:L23"/>
    <mergeCell ref="A35:B35"/>
  </mergeCells>
  <conditionalFormatting sqref="C3:L12">
    <cfRule type="dataBar" priority="2">
      <dataBar>
        <cfvo type="min"/>
        <cfvo type="max"/>
        <color rgb="FFFFB628"/>
      </dataBar>
      <extLst>
        <ext xmlns:x14="http://schemas.microsoft.com/office/spreadsheetml/2009/9/main" uri="{B025F937-C7B1-47D3-B67F-A62EFF666E3E}">
          <x14:id>{76A105EF-E1DD-420A-B836-2AB7D6BD1B5D}</x14:id>
        </ext>
      </extLst>
    </cfRule>
  </conditionalFormatting>
  <conditionalFormatting sqref="C25:L34">
    <cfRule type="dataBar" priority="1">
      <dataBar>
        <cfvo type="min"/>
        <cfvo type="max"/>
        <color rgb="FF638EC6"/>
      </dataBar>
      <extLst>
        <ext xmlns:x14="http://schemas.microsoft.com/office/spreadsheetml/2009/9/main" uri="{B025F937-C7B1-47D3-B67F-A62EFF666E3E}">
          <x14:id>{FC50E697-29FA-4F83-A352-7B704BACE189}</x14:id>
        </ext>
      </extLst>
    </cfRule>
  </conditionalFormatting>
  <pageMargins left="0.7" right="0.7" top="0.75" bottom="0.75" header="0.3" footer="0.3"/>
  <pageSetup paperSize="9" orientation="portrait" r:id="rId1"/>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76A105EF-E1DD-420A-B836-2AB7D6BD1B5D}">
            <x14:dataBar minLength="0" maxLength="100" border="1" negativeBarBorderColorSameAsPositive="0">
              <x14:cfvo type="autoMin"/>
              <x14:cfvo type="autoMax"/>
              <x14:borderColor rgb="FFFFB628"/>
              <x14:negativeFillColor rgb="FFFF0000"/>
              <x14:negativeBorderColor rgb="FFFF0000"/>
              <x14:axisColor rgb="FF000000"/>
            </x14:dataBar>
          </x14:cfRule>
          <xm:sqref>C3:L12</xm:sqref>
        </x14:conditionalFormatting>
        <x14:conditionalFormatting xmlns:xm="http://schemas.microsoft.com/office/excel/2006/main">
          <x14:cfRule type="dataBar" id="{FC50E697-29FA-4F83-A352-7B704BACE189}">
            <x14:dataBar minLength="0" maxLength="100" gradient="0">
              <x14:cfvo type="autoMin"/>
              <x14:cfvo type="autoMax"/>
              <x14:negativeFillColor rgb="FFFF0000"/>
              <x14:axisColor rgb="FF000000"/>
            </x14:dataBar>
          </x14:cfRule>
          <xm:sqref>C25:L34</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2FCA1-1C4D-4BA1-86C5-23017788BD6E}">
  <dimension ref="A1:L39"/>
  <sheetViews>
    <sheetView topLeftCell="A17" zoomScaleNormal="100" workbookViewId="0">
      <selection activeCell="C36" sqref="C36:C39"/>
    </sheetView>
  </sheetViews>
  <sheetFormatPr defaultColWidth="8.85546875" defaultRowHeight="15" x14ac:dyDescent="0.25"/>
  <cols>
    <col min="1" max="1" width="70.7109375" style="1" customWidth="1"/>
    <col min="2" max="2" width="10.7109375" style="3" customWidth="1"/>
    <col min="3" max="12" width="15.7109375" style="1" customWidth="1"/>
    <col min="13" max="16384" width="8.85546875" style="1"/>
  </cols>
  <sheetData>
    <row r="1" spans="1:12" ht="26.25" customHeight="1" x14ac:dyDescent="0.25">
      <c r="B1" s="108" t="s">
        <v>145</v>
      </c>
      <c r="C1" s="108"/>
      <c r="D1" s="108"/>
      <c r="E1" s="108"/>
      <c r="F1" s="108"/>
      <c r="G1" s="108"/>
      <c r="H1" s="108"/>
      <c r="I1" s="108"/>
      <c r="J1" s="108"/>
      <c r="K1" s="108"/>
      <c r="L1" s="108"/>
    </row>
    <row r="2" spans="1:12" ht="45" x14ac:dyDescent="0.25">
      <c r="B2" s="14" t="s">
        <v>0</v>
      </c>
      <c r="C2" s="2" t="s">
        <v>113</v>
      </c>
      <c r="D2" s="2" t="s">
        <v>114</v>
      </c>
      <c r="E2" s="2" t="s">
        <v>115</v>
      </c>
      <c r="F2" s="2" t="s">
        <v>116</v>
      </c>
      <c r="G2" s="2" t="s">
        <v>117</v>
      </c>
      <c r="H2" s="2" t="s">
        <v>118</v>
      </c>
      <c r="I2" s="2" t="s">
        <v>119</v>
      </c>
      <c r="J2" s="2" t="s">
        <v>120</v>
      </c>
      <c r="K2" s="2" t="s">
        <v>121</v>
      </c>
      <c r="L2" s="2" t="s">
        <v>122</v>
      </c>
    </row>
    <row r="3" spans="1:12" x14ac:dyDescent="0.25">
      <c r="B3" s="64">
        <v>1</v>
      </c>
      <c r="C3" s="78">
        <v>414903</v>
      </c>
      <c r="D3" s="78">
        <v>399405</v>
      </c>
      <c r="E3" s="78">
        <v>393932</v>
      </c>
      <c r="F3" s="78">
        <v>397309</v>
      </c>
      <c r="G3" s="78">
        <v>411001</v>
      </c>
      <c r="H3" s="78">
        <v>411852</v>
      </c>
      <c r="I3" s="78">
        <v>403451</v>
      </c>
      <c r="J3" s="78">
        <v>410582</v>
      </c>
      <c r="K3" s="78">
        <v>410654</v>
      </c>
      <c r="L3" s="78">
        <v>406697</v>
      </c>
    </row>
    <row r="4" spans="1:12" x14ac:dyDescent="0.25">
      <c r="B4" s="64">
        <v>2</v>
      </c>
      <c r="C4" s="78">
        <v>400095</v>
      </c>
      <c r="D4" s="78">
        <v>396731</v>
      </c>
      <c r="E4" s="78">
        <v>399486</v>
      </c>
      <c r="F4" s="78">
        <v>407981</v>
      </c>
      <c r="G4" s="78">
        <v>409150</v>
      </c>
      <c r="H4" s="78">
        <v>411044</v>
      </c>
      <c r="I4" s="78">
        <v>399816</v>
      </c>
      <c r="J4" s="78">
        <v>396405</v>
      </c>
      <c r="K4" s="78">
        <v>407815</v>
      </c>
      <c r="L4" s="78">
        <v>404012</v>
      </c>
    </row>
    <row r="5" spans="1:12" x14ac:dyDescent="0.25">
      <c r="B5" s="64">
        <v>3</v>
      </c>
      <c r="C5" s="78">
        <v>403750</v>
      </c>
      <c r="D5" s="78">
        <v>394861</v>
      </c>
      <c r="E5" s="78">
        <v>393459</v>
      </c>
      <c r="F5" s="78">
        <v>398931</v>
      </c>
      <c r="G5" s="78">
        <v>397386</v>
      </c>
      <c r="H5" s="78">
        <v>398551</v>
      </c>
      <c r="I5" s="78">
        <v>388554</v>
      </c>
      <c r="J5" s="78">
        <v>401317</v>
      </c>
      <c r="K5" s="78">
        <v>394045</v>
      </c>
      <c r="L5" s="78">
        <v>408348</v>
      </c>
    </row>
    <row r="6" spans="1:12" x14ac:dyDescent="0.25">
      <c r="B6" s="64">
        <v>4</v>
      </c>
      <c r="C6" s="78">
        <v>406741</v>
      </c>
      <c r="D6" s="78">
        <v>392852</v>
      </c>
      <c r="E6" s="78">
        <v>404791</v>
      </c>
      <c r="F6" s="78">
        <v>409769</v>
      </c>
      <c r="G6" s="78">
        <v>407081</v>
      </c>
      <c r="H6" s="78">
        <v>393380</v>
      </c>
      <c r="I6" s="78">
        <v>387856</v>
      </c>
      <c r="J6" s="78">
        <v>393282</v>
      </c>
      <c r="K6" s="78">
        <v>392189</v>
      </c>
      <c r="L6" s="78">
        <v>391786</v>
      </c>
    </row>
    <row r="7" spans="1:12" x14ac:dyDescent="0.25">
      <c r="B7" s="64">
        <v>5</v>
      </c>
      <c r="C7" s="78">
        <v>413862</v>
      </c>
      <c r="D7" s="78">
        <v>392290</v>
      </c>
      <c r="E7" s="78">
        <v>403266</v>
      </c>
      <c r="F7" s="78">
        <v>395215</v>
      </c>
      <c r="G7" s="78">
        <v>393474</v>
      </c>
      <c r="H7" s="78">
        <v>393996</v>
      </c>
      <c r="I7" s="78">
        <v>402937</v>
      </c>
      <c r="J7" s="78">
        <v>411841</v>
      </c>
      <c r="K7" s="78">
        <v>406581</v>
      </c>
      <c r="L7" s="78">
        <v>405496</v>
      </c>
    </row>
    <row r="8" spans="1:12" x14ac:dyDescent="0.25">
      <c r="B8" s="64">
        <v>6</v>
      </c>
      <c r="C8" s="78">
        <v>414400</v>
      </c>
      <c r="D8" s="78">
        <v>394026</v>
      </c>
      <c r="E8" s="78">
        <v>407430</v>
      </c>
      <c r="F8" s="78">
        <v>407550</v>
      </c>
      <c r="G8" s="78">
        <v>411481</v>
      </c>
      <c r="H8" s="78">
        <v>405714</v>
      </c>
      <c r="I8" s="78">
        <v>402089</v>
      </c>
      <c r="J8" s="78">
        <v>413286</v>
      </c>
      <c r="K8" s="78">
        <v>392270</v>
      </c>
      <c r="L8" s="78">
        <v>390981</v>
      </c>
    </row>
    <row r="9" spans="1:12" x14ac:dyDescent="0.25">
      <c r="B9" s="64">
        <v>7</v>
      </c>
      <c r="C9" s="78">
        <v>400860</v>
      </c>
      <c r="D9" s="78">
        <v>396600</v>
      </c>
      <c r="E9" s="78">
        <v>389556</v>
      </c>
      <c r="F9" s="78">
        <v>394423</v>
      </c>
      <c r="G9" s="78">
        <v>393120</v>
      </c>
      <c r="H9" s="78">
        <v>402652</v>
      </c>
      <c r="I9" s="78">
        <v>390403</v>
      </c>
      <c r="J9" s="78">
        <v>409865</v>
      </c>
      <c r="K9" s="78">
        <v>395948</v>
      </c>
      <c r="L9" s="78">
        <v>388324</v>
      </c>
    </row>
    <row r="10" spans="1:12" x14ac:dyDescent="0.25">
      <c r="B10" s="64">
        <v>8</v>
      </c>
      <c r="C10" s="78">
        <v>415340</v>
      </c>
      <c r="D10" s="78">
        <v>385537</v>
      </c>
      <c r="E10" s="78">
        <v>395075</v>
      </c>
      <c r="F10" s="78">
        <v>412629</v>
      </c>
      <c r="G10" s="78">
        <v>397062</v>
      </c>
      <c r="H10" s="78">
        <v>396919</v>
      </c>
      <c r="I10" s="78">
        <v>387310</v>
      </c>
      <c r="J10" s="78">
        <v>400752</v>
      </c>
      <c r="K10" s="78">
        <v>395670</v>
      </c>
      <c r="L10" s="78">
        <v>395215</v>
      </c>
    </row>
    <row r="11" spans="1:12" ht="24" customHeight="1" x14ac:dyDescent="0.4">
      <c r="A11" s="103" t="s">
        <v>123</v>
      </c>
      <c r="B11" s="103"/>
      <c r="C11" s="79">
        <f>AVERAGE(Table145678910234111228[No. Of Iterations Block Of Text - Run 1])</f>
        <v>408743.875</v>
      </c>
      <c r="D11" s="7">
        <f>AVERAGE(Table145678910234111228[No. Of Iterations Block Of Text - Run 2])</f>
        <v>394037.75</v>
      </c>
      <c r="E11" s="7">
        <f>AVERAGE(Table145678910234111228[No. Of Iterations Block Of Text - Run 3])</f>
        <v>398374.375</v>
      </c>
      <c r="F11" s="7">
        <f>AVERAGE(Table145678910234111228[No. Of Iterations Block Of Text - Run 4])</f>
        <v>402975.875</v>
      </c>
      <c r="G11" s="7">
        <f>AVERAGE(Table145678910234111228[No. Of Iterations Block Of Text - Run 5])</f>
        <v>402469.375</v>
      </c>
      <c r="H11" s="7">
        <f>AVERAGE(Table145678910234111228[No. Of Iterations Block Of Text - Run 6])</f>
        <v>401763.5</v>
      </c>
      <c r="I11" s="7">
        <f>AVERAGE(Table145678910234111228[No. Of Iterations Block Of Text - Run 7])</f>
        <v>395302</v>
      </c>
      <c r="J11" s="7">
        <f>AVERAGE(Table145678910234111228[No. Of Iterations Block Of Text - Run 8])</f>
        <v>404666.25</v>
      </c>
      <c r="K11" s="7">
        <f>AVERAGE(Table145678910234111228[No. Of Iterations Block Of Text - Run 9])</f>
        <v>399396.5</v>
      </c>
      <c r="L11" s="7">
        <f>AVERAGE(Table145678910234111228[No. Of Iterations Block Of Text - Run 10])</f>
        <v>398857.375</v>
      </c>
    </row>
    <row r="12" spans="1:12" ht="24" x14ac:dyDescent="0.4">
      <c r="A12" s="103" t="s">
        <v>124</v>
      </c>
      <c r="B12" s="103"/>
      <c r="C12" s="79">
        <f>MIN(Table145678910234111228[No. Of Iterations Block Of Text - Run 1])</f>
        <v>400095</v>
      </c>
      <c r="D12" s="7">
        <f>MIN(Table145678910234111228[No. Of Iterations Block Of Text - Run 2])</f>
        <v>385537</v>
      </c>
      <c r="E12" s="7">
        <f>MIN(Table145678910234111228[No. Of Iterations Block Of Text - Run 3])</f>
        <v>389556</v>
      </c>
      <c r="F12" s="7">
        <f>MIN(Table145678910234111228[No. Of Iterations Block Of Text - Run 4])</f>
        <v>394423</v>
      </c>
      <c r="G12" s="7">
        <f>MIN(Table145678910234111228[No. Of Iterations Block Of Text - Run 5])</f>
        <v>393120</v>
      </c>
      <c r="H12" s="7">
        <f>MIN(Table145678910234111228[No. Of Iterations Block Of Text - Run 6])</f>
        <v>393380</v>
      </c>
      <c r="I12" s="7">
        <f>MIN(Table145678910234111228[No. Of Iterations Block Of Text - Run 7])</f>
        <v>387310</v>
      </c>
      <c r="J12" s="7">
        <f>MIN(Table145678910234111228[No. Of Iterations Block Of Text - Run 8])</f>
        <v>393282</v>
      </c>
      <c r="K12" s="7">
        <f>MIN(Table145678910234111228[No. Of Iterations Block Of Text - Run 9])</f>
        <v>392189</v>
      </c>
      <c r="L12" s="7">
        <f>MIN(Table145678910234111228[No. Of Iterations Block Of Text - Run 10])</f>
        <v>388324</v>
      </c>
    </row>
    <row r="13" spans="1:12" ht="24" x14ac:dyDescent="0.4">
      <c r="A13" s="103" t="s">
        <v>125</v>
      </c>
      <c r="B13" s="133"/>
      <c r="C13" s="79">
        <f>MAX(Table145678910234111228[No. Of Iterations Block Of Text - Run 1])</f>
        <v>415340</v>
      </c>
      <c r="D13" s="7">
        <f>MAX(Table145678910234111228[No. Of Iterations Block Of Text - Run 2])</f>
        <v>399405</v>
      </c>
      <c r="E13" s="7">
        <f>MAX(Table145678910234111228[No. Of Iterations Block Of Text - Run 3])</f>
        <v>407430</v>
      </c>
      <c r="F13" s="7">
        <f>MAX(Table145678910234111228[No. Of Iterations Block Of Text - Run 4])</f>
        <v>412629</v>
      </c>
      <c r="G13" s="7">
        <f>MAX(Table145678910234111228[No. Of Iterations Block Of Text - Run 5])</f>
        <v>411481</v>
      </c>
      <c r="H13" s="7">
        <f>MAX(Table145678910234111228[No. Of Iterations Block Of Text - Run 6])</f>
        <v>411852</v>
      </c>
      <c r="I13" s="7">
        <f>MAX(Table145678910234111228[No. Of Iterations Block Of Text - Run 7])</f>
        <v>403451</v>
      </c>
      <c r="J13" s="7">
        <f>MAX(Table145678910234111228[No. Of Iterations Block Of Text - Run 8])</f>
        <v>413286</v>
      </c>
      <c r="K13" s="7">
        <f>MAX(Table145678910234111228[No. Of Iterations Block Of Text - Run 9])</f>
        <v>410654</v>
      </c>
      <c r="L13" s="7">
        <f>MAX(Table145678910234111228[No. Of Iterations Block Of Text - Run 10])</f>
        <v>408348</v>
      </c>
    </row>
    <row r="14" spans="1:12" ht="24" x14ac:dyDescent="0.4">
      <c r="A14" s="103" t="s">
        <v>126</v>
      </c>
      <c r="B14" s="133"/>
      <c r="C14" s="79">
        <f>C13-C12</f>
        <v>15245</v>
      </c>
      <c r="D14" s="7">
        <f t="shared" ref="D14:L14" si="0">D13-D12</f>
        <v>13868</v>
      </c>
      <c r="E14" s="7">
        <f>E13-E12</f>
        <v>17874</v>
      </c>
      <c r="F14" s="7">
        <f>F13-F12</f>
        <v>18206</v>
      </c>
      <c r="G14" s="7">
        <f t="shared" si="0"/>
        <v>18361</v>
      </c>
      <c r="H14" s="7">
        <f t="shared" si="0"/>
        <v>18472</v>
      </c>
      <c r="I14" s="7">
        <f t="shared" si="0"/>
        <v>16141</v>
      </c>
      <c r="J14" s="7">
        <f t="shared" si="0"/>
        <v>20004</v>
      </c>
      <c r="K14" s="7">
        <f t="shared" si="0"/>
        <v>18465</v>
      </c>
      <c r="L14" s="7">
        <f t="shared" si="0"/>
        <v>20024</v>
      </c>
    </row>
    <row r="15" spans="1:12" ht="24" x14ac:dyDescent="0.4">
      <c r="A15" s="103" t="s">
        <v>127</v>
      </c>
      <c r="B15" s="133"/>
      <c r="C15" s="83">
        <f>C14/C12</f>
        <v>3.8103450430522753E-2</v>
      </c>
      <c r="D15" s="84">
        <f t="shared" ref="D15:L15" si="1">D14/D12</f>
        <v>3.5970607230953189E-2</v>
      </c>
      <c r="E15" s="84">
        <f t="shared" si="1"/>
        <v>4.5883005267535346E-2</v>
      </c>
      <c r="F15" s="84">
        <f t="shared" si="1"/>
        <v>4.6158565803718341E-2</v>
      </c>
      <c r="G15" s="84">
        <f t="shared" si="1"/>
        <v>4.6705840455840454E-2</v>
      </c>
      <c r="H15" s="84">
        <f t="shared" si="1"/>
        <v>4.6957140678224617E-2</v>
      </c>
      <c r="I15" s="84">
        <f t="shared" si="1"/>
        <v>4.1674627559319409E-2</v>
      </c>
      <c r="J15" s="84">
        <f t="shared" si="1"/>
        <v>5.0864265336323551E-2</v>
      </c>
      <c r="K15" s="84">
        <f t="shared" si="1"/>
        <v>4.7081891638980189E-2</v>
      </c>
      <c r="L15" s="84">
        <f t="shared" si="1"/>
        <v>5.1565187832840614E-2</v>
      </c>
    </row>
    <row r="16" spans="1:12" ht="31.5" x14ac:dyDescent="0.5">
      <c r="A16" s="103" t="s">
        <v>128</v>
      </c>
      <c r="B16" s="133"/>
      <c r="C16" s="85">
        <f>MIN(C15:L15)</f>
        <v>3.5970607230953189E-2</v>
      </c>
      <c r="D16" s="7"/>
      <c r="E16" s="7"/>
      <c r="F16" s="7"/>
      <c r="G16" s="7"/>
      <c r="H16" s="7"/>
      <c r="I16" s="7"/>
      <c r="J16" s="7"/>
      <c r="K16" s="7"/>
      <c r="L16" s="7"/>
    </row>
    <row r="17" spans="1:12" ht="31.5" x14ac:dyDescent="0.5">
      <c r="A17" s="103" t="s">
        <v>129</v>
      </c>
      <c r="B17" s="133"/>
      <c r="C17" s="85">
        <f>MAX(C15:L15)</f>
        <v>5.1565187832840614E-2</v>
      </c>
      <c r="D17" s="7"/>
      <c r="E17" s="7"/>
      <c r="F17" s="7"/>
      <c r="G17" s="7"/>
      <c r="H17" s="7"/>
      <c r="I17" s="7"/>
      <c r="J17" s="7"/>
      <c r="K17" s="7"/>
      <c r="L17" s="7"/>
    </row>
    <row r="18" spans="1:12" ht="24" x14ac:dyDescent="0.4">
      <c r="A18" s="103" t="s">
        <v>130</v>
      </c>
      <c r="B18" s="133"/>
      <c r="C18" s="84">
        <f>AVERAGE(C15:L15)</f>
        <v>4.5096458223425839E-2</v>
      </c>
      <c r="D18" s="7"/>
      <c r="E18" s="7"/>
      <c r="F18" s="7"/>
      <c r="G18" s="7"/>
      <c r="H18" s="7"/>
      <c r="I18" s="7"/>
      <c r="J18" s="7"/>
      <c r="K18" s="7"/>
      <c r="L18" s="7"/>
    </row>
    <row r="19" spans="1:12" ht="24" x14ac:dyDescent="0.4">
      <c r="A19" s="103" t="s">
        <v>138</v>
      </c>
      <c r="B19" s="133"/>
      <c r="C19" s="59">
        <f>AVERAGE(C11:L11)</f>
        <v>400658.6875</v>
      </c>
    </row>
    <row r="20" spans="1:12" x14ac:dyDescent="0.25">
      <c r="A20" s="9"/>
      <c r="B20" s="9"/>
    </row>
    <row r="21" spans="1:12" ht="26.25" x14ac:dyDescent="0.25">
      <c r="B21" s="108" t="s">
        <v>146</v>
      </c>
      <c r="C21" s="108"/>
      <c r="D21" s="108"/>
      <c r="E21" s="108"/>
      <c r="F21" s="108"/>
      <c r="G21" s="108"/>
      <c r="H21" s="108"/>
      <c r="I21" s="108"/>
      <c r="J21" s="108"/>
      <c r="K21" s="108"/>
      <c r="L21" s="108"/>
    </row>
    <row r="22" spans="1:12" ht="45" x14ac:dyDescent="0.25">
      <c r="B22" s="14" t="s">
        <v>0</v>
      </c>
      <c r="C22" s="2" t="s">
        <v>113</v>
      </c>
      <c r="D22" s="2" t="s">
        <v>114</v>
      </c>
      <c r="E22" s="2" t="s">
        <v>115</v>
      </c>
      <c r="F22" s="2" t="s">
        <v>116</v>
      </c>
      <c r="G22" s="2" t="s">
        <v>117</v>
      </c>
      <c r="H22" s="2" t="s">
        <v>118</v>
      </c>
      <c r="I22" s="2" t="s">
        <v>119</v>
      </c>
      <c r="J22" s="2" t="s">
        <v>120</v>
      </c>
      <c r="K22" s="2" t="s">
        <v>121</v>
      </c>
      <c r="L22" s="2" t="s">
        <v>122</v>
      </c>
    </row>
    <row r="23" spans="1:12" x14ac:dyDescent="0.25">
      <c r="B23" s="64">
        <v>1</v>
      </c>
      <c r="C23" s="78">
        <v>450861</v>
      </c>
      <c r="D23" s="78">
        <v>444625</v>
      </c>
      <c r="E23" s="78">
        <v>437525</v>
      </c>
      <c r="F23" s="78">
        <v>426847</v>
      </c>
      <c r="G23" s="78">
        <v>427679</v>
      </c>
      <c r="H23" s="78">
        <v>436953</v>
      </c>
      <c r="I23" s="78">
        <v>421288</v>
      </c>
      <c r="J23" s="78">
        <v>445963</v>
      </c>
      <c r="K23" s="78">
        <v>441552</v>
      </c>
      <c r="L23" s="78">
        <v>440840</v>
      </c>
    </row>
    <row r="24" spans="1:12" x14ac:dyDescent="0.25">
      <c r="B24" s="64">
        <v>2</v>
      </c>
      <c r="C24" s="78">
        <v>446820</v>
      </c>
      <c r="D24" s="78">
        <v>443553</v>
      </c>
      <c r="E24" s="78">
        <v>432636</v>
      </c>
      <c r="F24" s="78">
        <v>418743</v>
      </c>
      <c r="G24" s="78">
        <v>422837</v>
      </c>
      <c r="H24" s="78">
        <v>418216</v>
      </c>
      <c r="I24" s="78">
        <v>441349</v>
      </c>
      <c r="J24" s="78">
        <v>424639</v>
      </c>
      <c r="K24" s="78">
        <v>445921</v>
      </c>
      <c r="L24" s="78">
        <v>427005</v>
      </c>
    </row>
    <row r="25" spans="1:12" x14ac:dyDescent="0.25">
      <c r="B25" s="64">
        <v>3</v>
      </c>
      <c r="C25" s="78">
        <v>432103</v>
      </c>
      <c r="D25" s="78">
        <v>429652</v>
      </c>
      <c r="E25" s="78">
        <v>438726</v>
      </c>
      <c r="F25" s="78">
        <v>434014</v>
      </c>
      <c r="G25" s="78">
        <v>428558</v>
      </c>
      <c r="H25" s="78">
        <v>432316</v>
      </c>
      <c r="I25" s="78">
        <v>419872</v>
      </c>
      <c r="J25" s="78">
        <v>427187</v>
      </c>
      <c r="K25" s="78">
        <v>429679</v>
      </c>
      <c r="L25" s="78">
        <v>425037</v>
      </c>
    </row>
    <row r="26" spans="1:12" x14ac:dyDescent="0.25">
      <c r="B26" s="64">
        <v>4</v>
      </c>
      <c r="C26" s="78">
        <v>432197</v>
      </c>
      <c r="D26" s="78">
        <v>428751</v>
      </c>
      <c r="E26" s="78">
        <v>431082</v>
      </c>
      <c r="F26" s="78">
        <v>436642</v>
      </c>
      <c r="G26" s="78">
        <v>430741</v>
      </c>
      <c r="H26" s="78">
        <v>423151</v>
      </c>
      <c r="I26" s="78">
        <v>421966</v>
      </c>
      <c r="J26" s="78">
        <v>441276</v>
      </c>
      <c r="K26" s="78">
        <v>427991</v>
      </c>
      <c r="L26" s="78">
        <v>441781</v>
      </c>
    </row>
    <row r="27" spans="1:12" x14ac:dyDescent="0.25">
      <c r="B27" s="64">
        <v>5</v>
      </c>
      <c r="C27" s="78">
        <v>448891</v>
      </c>
      <c r="D27" s="78">
        <v>443085</v>
      </c>
      <c r="E27" s="78">
        <v>442222</v>
      </c>
      <c r="F27" s="78">
        <v>429780</v>
      </c>
      <c r="G27" s="78">
        <v>447774</v>
      </c>
      <c r="H27" s="78">
        <v>437536</v>
      </c>
      <c r="I27" s="78">
        <v>443258</v>
      </c>
      <c r="J27" s="78">
        <v>441271</v>
      </c>
      <c r="K27" s="78">
        <v>443170</v>
      </c>
      <c r="L27" s="78">
        <v>441723</v>
      </c>
    </row>
    <row r="28" spans="1:12" x14ac:dyDescent="0.25">
      <c r="B28" s="64">
        <v>6</v>
      </c>
      <c r="C28" s="78">
        <v>448028</v>
      </c>
      <c r="D28" s="78">
        <v>444900</v>
      </c>
      <c r="E28" s="78">
        <v>442969</v>
      </c>
      <c r="F28" s="78">
        <v>443500</v>
      </c>
      <c r="G28" s="78">
        <v>447402</v>
      </c>
      <c r="H28" s="78">
        <v>436838</v>
      </c>
      <c r="I28" s="78">
        <v>441907</v>
      </c>
      <c r="J28" s="78">
        <v>444803</v>
      </c>
      <c r="K28" s="78">
        <v>429660</v>
      </c>
      <c r="L28" s="78">
        <v>427497</v>
      </c>
    </row>
    <row r="29" spans="1:12" x14ac:dyDescent="0.25">
      <c r="B29" s="64">
        <v>7</v>
      </c>
      <c r="C29" s="78">
        <v>432660</v>
      </c>
      <c r="D29" s="78">
        <v>427356</v>
      </c>
      <c r="E29" s="78">
        <v>425539</v>
      </c>
      <c r="F29" s="78">
        <v>440908</v>
      </c>
      <c r="G29" s="78">
        <v>446501</v>
      </c>
      <c r="H29" s="78">
        <v>419265</v>
      </c>
      <c r="I29" s="78">
        <v>433525</v>
      </c>
      <c r="J29" s="78">
        <v>432055</v>
      </c>
      <c r="K29" s="78">
        <v>439000</v>
      </c>
      <c r="L29" s="78">
        <v>441239</v>
      </c>
    </row>
    <row r="30" spans="1:12" x14ac:dyDescent="0.25">
      <c r="B30" s="64">
        <v>8</v>
      </c>
      <c r="C30" s="78">
        <v>436473</v>
      </c>
      <c r="D30" s="78">
        <v>431000</v>
      </c>
      <c r="E30" s="78">
        <v>424116</v>
      </c>
      <c r="F30" s="78">
        <v>438194</v>
      </c>
      <c r="G30" s="78">
        <v>443816</v>
      </c>
      <c r="H30" s="78">
        <v>422778</v>
      </c>
      <c r="I30" s="78">
        <v>423237</v>
      </c>
      <c r="J30" s="78">
        <v>425506</v>
      </c>
      <c r="K30" s="78">
        <v>435055</v>
      </c>
      <c r="L30" s="78">
        <v>424755</v>
      </c>
    </row>
    <row r="31" spans="1:12" ht="24" x14ac:dyDescent="0.4">
      <c r="A31" s="103" t="s">
        <v>123</v>
      </c>
      <c r="B31" s="103"/>
      <c r="C31" s="79">
        <f>AVERAGE(Table14567891023411121329[No. Of Iterations Block Of Text - Run 1])</f>
        <v>441004.125</v>
      </c>
      <c r="D31" s="7">
        <f>AVERAGE(Table14567891023411121329[No. Of Iterations Block Of Text - Run 2])</f>
        <v>436615.25</v>
      </c>
      <c r="E31" s="7">
        <f>AVERAGE(Table14567891023411121329[No. Of Iterations Block Of Text - Run 3])</f>
        <v>434351.875</v>
      </c>
      <c r="F31" s="7">
        <f>AVERAGE(Table14567891023411121329[No. Of Iterations Block Of Text - Run 4])</f>
        <v>433578.5</v>
      </c>
      <c r="G31" s="7">
        <f>AVERAGE(Table14567891023411121329[No. Of Iterations Block Of Text - Run 5])</f>
        <v>436913.5</v>
      </c>
      <c r="H31" s="7">
        <f>AVERAGE(Table14567891023411121329[No. Of Iterations Block Of Text - Run 6])</f>
        <v>428381.625</v>
      </c>
      <c r="I31" s="7">
        <f>AVERAGE(Table14567891023411121329[No. Of Iterations Block Of Text - Run 7])</f>
        <v>430800.25</v>
      </c>
      <c r="J31" s="7">
        <f>AVERAGE(Table14567891023411121329[No. Of Iterations Block Of Text - Run 8])</f>
        <v>435337.5</v>
      </c>
      <c r="K31" s="7">
        <f>AVERAGE(Table14567891023411121329[No. Of Iterations Block Of Text - Run 9])</f>
        <v>436503.5</v>
      </c>
      <c r="L31" s="7">
        <f>AVERAGE(Table14567891023411121329[No. Of Iterations Block Of Text - Run 10])</f>
        <v>433734.625</v>
      </c>
    </row>
    <row r="32" spans="1:12" ht="24" x14ac:dyDescent="0.4">
      <c r="A32" s="103" t="s">
        <v>124</v>
      </c>
      <c r="B32" s="103"/>
      <c r="C32" s="79">
        <f>MIN(Table14567891023411121329[No. Of Iterations Block Of Text - Run 1])</f>
        <v>432103</v>
      </c>
      <c r="D32" s="7">
        <f>MIN(Table14567891023411121329[No. Of Iterations Block Of Text - Run 2])</f>
        <v>427356</v>
      </c>
      <c r="E32" s="7">
        <f>MIN(Table14567891023411121329[No. Of Iterations Block Of Text - Run 3])</f>
        <v>424116</v>
      </c>
      <c r="F32" s="7">
        <f>MIN(Table14567891023411121329[No. Of Iterations Block Of Text - Run 4])</f>
        <v>418743</v>
      </c>
      <c r="G32" s="7">
        <f>MIN(Table14567891023411121329[No. Of Iterations Block Of Text - Run 5])</f>
        <v>422837</v>
      </c>
      <c r="H32" s="7">
        <f>MIN(Table14567891023411121329[No. Of Iterations Block Of Text - Run 6])</f>
        <v>418216</v>
      </c>
      <c r="I32" s="7">
        <f>MIN(Table14567891023411121329[No. Of Iterations Block Of Text - Run 7])</f>
        <v>419872</v>
      </c>
      <c r="J32" s="7">
        <f>MIN(Table14567891023411121329[No. Of Iterations Block Of Text - Run 8])</f>
        <v>424639</v>
      </c>
      <c r="K32" s="7">
        <f>MIN(Table14567891023411121329[No. Of Iterations Block Of Text - Run 9])</f>
        <v>427991</v>
      </c>
      <c r="L32" s="7">
        <f>MIN(Table14567891023411121329[No. Of Iterations Block Of Text - Run 10])</f>
        <v>424755</v>
      </c>
    </row>
    <row r="33" spans="1:12" ht="24" x14ac:dyDescent="0.4">
      <c r="A33" s="103" t="s">
        <v>125</v>
      </c>
      <c r="B33" s="133"/>
      <c r="C33" s="79">
        <f>MAX(Table14567891023411121329[No. Of Iterations Block Of Text - Run 1])</f>
        <v>450861</v>
      </c>
      <c r="D33" s="7">
        <f>MAX(Table14567891023411121329[No. Of Iterations Block Of Text - Run 2])</f>
        <v>444900</v>
      </c>
      <c r="E33" s="7">
        <f>MAX(Table14567891023411121329[No. Of Iterations Block Of Text - Run 3])</f>
        <v>442969</v>
      </c>
      <c r="F33" s="7">
        <f>MAX(Table14567891023411121329[No. Of Iterations Block Of Text - Run 4])</f>
        <v>443500</v>
      </c>
      <c r="G33" s="7">
        <f>MAX(Table14567891023411121329[No. Of Iterations Block Of Text - Run 5])</f>
        <v>447774</v>
      </c>
      <c r="H33" s="7">
        <f>MAX(Table14567891023411121329[No. Of Iterations Block Of Text - Run 6])</f>
        <v>437536</v>
      </c>
      <c r="I33" s="7">
        <f>MAX(Table14567891023411121329[No. Of Iterations Block Of Text - Run 7])</f>
        <v>443258</v>
      </c>
      <c r="J33" s="7">
        <f>MAX(Table14567891023411121329[No. Of Iterations Block Of Text - Run 8])</f>
        <v>445963</v>
      </c>
      <c r="K33" s="7">
        <f>MAX(Table14567891023411121329[No. Of Iterations Block Of Text - Run 9])</f>
        <v>445921</v>
      </c>
      <c r="L33" s="7">
        <f>MAX(Table14567891023411121329[No. Of Iterations Block Of Text - Run 10])</f>
        <v>441781</v>
      </c>
    </row>
    <row r="34" spans="1:12" ht="24" x14ac:dyDescent="0.4">
      <c r="A34" s="103" t="s">
        <v>126</v>
      </c>
      <c r="B34" s="133"/>
      <c r="C34" s="79">
        <f>C33-C32</f>
        <v>18758</v>
      </c>
      <c r="D34" s="7">
        <f t="shared" ref="D34" si="2">D33-D32</f>
        <v>17544</v>
      </c>
      <c r="E34" s="7">
        <f>E33-E32</f>
        <v>18853</v>
      </c>
      <c r="F34" s="7">
        <f>F33-F32</f>
        <v>24757</v>
      </c>
      <c r="G34" s="7">
        <f t="shared" ref="G34:L34" si="3">G33-G32</f>
        <v>24937</v>
      </c>
      <c r="H34" s="7">
        <f t="shared" si="3"/>
        <v>19320</v>
      </c>
      <c r="I34" s="7">
        <f t="shared" si="3"/>
        <v>23386</v>
      </c>
      <c r="J34" s="7">
        <f t="shared" si="3"/>
        <v>21324</v>
      </c>
      <c r="K34" s="7">
        <f t="shared" si="3"/>
        <v>17930</v>
      </c>
      <c r="L34" s="7">
        <f t="shared" si="3"/>
        <v>17026</v>
      </c>
    </row>
    <row r="35" spans="1:12" ht="24" x14ac:dyDescent="0.4">
      <c r="A35" s="103" t="s">
        <v>127</v>
      </c>
      <c r="B35" s="133"/>
      <c r="C35" s="83">
        <f>C34/C32</f>
        <v>4.3410946001300618E-2</v>
      </c>
      <c r="D35" s="84">
        <f t="shared" ref="D35:L35" si="4">D34/D32</f>
        <v>4.1052424676382218E-2</v>
      </c>
      <c r="E35" s="84">
        <f t="shared" si="4"/>
        <v>4.4452461119127783E-2</v>
      </c>
      <c r="F35" s="84">
        <f t="shared" si="4"/>
        <v>5.9122182340958535E-2</v>
      </c>
      <c r="G35" s="84">
        <f t="shared" si="4"/>
        <v>5.8975444438400616E-2</v>
      </c>
      <c r="H35" s="84">
        <f t="shared" si="4"/>
        <v>4.6196223960824075E-2</v>
      </c>
      <c r="I35" s="84">
        <f t="shared" si="4"/>
        <v>5.5697926987272314E-2</v>
      </c>
      <c r="J35" s="84">
        <f t="shared" si="4"/>
        <v>5.0216772364290611E-2</v>
      </c>
      <c r="K35" s="84">
        <f t="shared" si="4"/>
        <v>4.189340430055772E-2</v>
      </c>
      <c r="L35" s="84">
        <f t="shared" si="4"/>
        <v>4.0084283881296277E-2</v>
      </c>
    </row>
    <row r="36" spans="1:12" ht="31.5" x14ac:dyDescent="0.5">
      <c r="A36" s="103" t="s">
        <v>128</v>
      </c>
      <c r="B36" s="133"/>
      <c r="C36" s="85">
        <f>MIN(C35:L35)</f>
        <v>4.0084283881296277E-2</v>
      </c>
      <c r="D36" s="7"/>
      <c r="E36" s="7"/>
      <c r="F36" s="7"/>
      <c r="G36" s="7"/>
      <c r="H36" s="7"/>
      <c r="I36" s="7"/>
      <c r="J36" s="7"/>
      <c r="K36" s="7"/>
      <c r="L36" s="7"/>
    </row>
    <row r="37" spans="1:12" ht="31.5" x14ac:dyDescent="0.5">
      <c r="A37" s="103" t="s">
        <v>129</v>
      </c>
      <c r="B37" s="133"/>
      <c r="C37" s="85">
        <f>MAX(C35:L35)</f>
        <v>5.9122182340958535E-2</v>
      </c>
      <c r="D37" s="7"/>
      <c r="E37" s="7"/>
      <c r="F37" s="7"/>
      <c r="G37" s="7"/>
      <c r="H37" s="7"/>
      <c r="I37" s="7"/>
      <c r="J37" s="7"/>
      <c r="K37" s="7"/>
      <c r="L37" s="7"/>
    </row>
    <row r="38" spans="1:12" ht="24" x14ac:dyDescent="0.4">
      <c r="A38" s="103" t="s">
        <v>130</v>
      </c>
      <c r="B38" s="133"/>
      <c r="C38" s="84">
        <f>AVERAGE(C35:L35)</f>
        <v>4.8110207007041078E-2</v>
      </c>
    </row>
    <row r="39" spans="1:12" ht="24" x14ac:dyDescent="0.4">
      <c r="A39" s="103" t="s">
        <v>138</v>
      </c>
      <c r="B39" s="133"/>
      <c r="C39" s="59">
        <f>AVERAGE(C31:L31)</f>
        <v>434722.07500000001</v>
      </c>
    </row>
  </sheetData>
  <mergeCells count="20">
    <mergeCell ref="A38:B38"/>
    <mergeCell ref="A39:B39"/>
    <mergeCell ref="A32:B32"/>
    <mergeCell ref="A33:B33"/>
    <mergeCell ref="A34:B34"/>
    <mergeCell ref="A35:B35"/>
    <mergeCell ref="A36:B36"/>
    <mergeCell ref="A37:B37"/>
    <mergeCell ref="A31:B31"/>
    <mergeCell ref="B1:L1"/>
    <mergeCell ref="A11:B11"/>
    <mergeCell ref="A12:B12"/>
    <mergeCell ref="A13:B13"/>
    <mergeCell ref="A14:B14"/>
    <mergeCell ref="A15:B15"/>
    <mergeCell ref="A16:B16"/>
    <mergeCell ref="A17:B17"/>
    <mergeCell ref="A18:B18"/>
    <mergeCell ref="A19:B19"/>
    <mergeCell ref="B21:L21"/>
  </mergeCells>
  <conditionalFormatting sqref="C3:L10">
    <cfRule type="dataBar" priority="7">
      <dataBar>
        <cfvo type="min"/>
        <cfvo type="max"/>
        <color rgb="FFFFB628"/>
      </dataBar>
      <extLst>
        <ext xmlns:x14="http://schemas.microsoft.com/office/spreadsheetml/2009/9/main" uri="{B025F937-C7B1-47D3-B67F-A62EFF666E3E}">
          <x14:id>{253A2918-D042-43B4-83C3-7AE0DCCBD76E}</x14:id>
        </ext>
      </extLst>
    </cfRule>
  </conditionalFormatting>
  <conditionalFormatting sqref="C23:L30">
    <cfRule type="dataBar" priority="8">
      <dataBar>
        <cfvo type="min"/>
        <cfvo type="max"/>
        <color rgb="FF638EC6"/>
      </dataBar>
      <extLst>
        <ext xmlns:x14="http://schemas.microsoft.com/office/spreadsheetml/2009/9/main" uri="{B025F937-C7B1-47D3-B67F-A62EFF666E3E}">
          <x14:id>{DCB9B27E-F27C-4D03-A4FB-FCF7DEF5F624}</x14:id>
        </ext>
      </extLst>
    </cfRule>
  </conditionalFormatting>
  <pageMargins left="0.7" right="0.7" top="0.75" bottom="0.75" header="0.3" footer="0.3"/>
  <pageSetup paperSize="9" orientation="portrait" r:id="rId1"/>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253A2918-D042-43B4-83C3-7AE0DCCBD76E}">
            <x14:dataBar minLength="0" maxLength="100" border="1" negativeBarBorderColorSameAsPositive="0">
              <x14:cfvo type="autoMin"/>
              <x14:cfvo type="autoMax"/>
              <x14:borderColor rgb="FFFFB628"/>
              <x14:negativeFillColor rgb="FFFF0000"/>
              <x14:negativeBorderColor rgb="FFFF0000"/>
              <x14:axisColor rgb="FF000000"/>
            </x14:dataBar>
          </x14:cfRule>
          <xm:sqref>C3:L10</xm:sqref>
        </x14:conditionalFormatting>
        <x14:conditionalFormatting xmlns:xm="http://schemas.microsoft.com/office/excel/2006/main">
          <x14:cfRule type="dataBar" id="{DCB9B27E-F27C-4D03-A4FB-FCF7DEF5F624}">
            <x14:dataBar minLength="0" maxLength="100" gradient="0">
              <x14:cfvo type="autoMin"/>
              <x14:cfvo type="autoMax"/>
              <x14:negativeFillColor rgb="FFFF0000"/>
              <x14:axisColor rgb="FF000000"/>
            </x14:dataBar>
          </x14:cfRule>
          <xm:sqref>C23:L30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0E643-3975-4D01-80AA-DF4B93AE2974}">
  <dimension ref="A1:L51"/>
  <sheetViews>
    <sheetView topLeftCell="A25" zoomScaleNormal="100" workbookViewId="0">
      <selection activeCell="C48" sqref="C48:C51"/>
    </sheetView>
  </sheetViews>
  <sheetFormatPr defaultColWidth="8.85546875" defaultRowHeight="15" x14ac:dyDescent="0.25"/>
  <cols>
    <col min="1" max="1" width="70.7109375" style="1" customWidth="1"/>
    <col min="2" max="2" width="10.7109375" style="3" customWidth="1"/>
    <col min="3" max="12" width="15.7109375" style="1" customWidth="1"/>
    <col min="13" max="16384" width="8.85546875" style="1"/>
  </cols>
  <sheetData>
    <row r="1" spans="2:12" ht="26.25" customHeight="1" x14ac:dyDescent="0.25">
      <c r="B1" s="108" t="s">
        <v>147</v>
      </c>
      <c r="C1" s="108"/>
      <c r="D1" s="108"/>
      <c r="E1" s="108"/>
      <c r="F1" s="108"/>
      <c r="G1" s="108"/>
      <c r="H1" s="108"/>
      <c r="I1" s="108"/>
      <c r="J1" s="108"/>
      <c r="K1" s="108"/>
      <c r="L1" s="108"/>
    </row>
    <row r="2" spans="2:12" ht="45" x14ac:dyDescent="0.25">
      <c r="B2" s="14" t="s">
        <v>0</v>
      </c>
      <c r="C2" s="2" t="s">
        <v>113</v>
      </c>
      <c r="D2" s="2" t="s">
        <v>114</v>
      </c>
      <c r="E2" s="2" t="s">
        <v>115</v>
      </c>
      <c r="F2" s="2" t="s">
        <v>116</v>
      </c>
      <c r="G2" s="2" t="s">
        <v>117</v>
      </c>
      <c r="H2" s="2" t="s">
        <v>118</v>
      </c>
      <c r="I2" s="2" t="s">
        <v>119</v>
      </c>
      <c r="J2" s="2" t="s">
        <v>120</v>
      </c>
      <c r="K2" s="2" t="s">
        <v>121</v>
      </c>
      <c r="L2" s="2" t="s">
        <v>122</v>
      </c>
    </row>
    <row r="3" spans="2:12" x14ac:dyDescent="0.25">
      <c r="B3" s="64">
        <v>1</v>
      </c>
      <c r="C3" s="78">
        <v>223797</v>
      </c>
      <c r="D3" s="78">
        <v>231957</v>
      </c>
      <c r="E3" s="78">
        <v>214418</v>
      </c>
      <c r="F3" s="78">
        <v>246418</v>
      </c>
      <c r="G3" s="78">
        <v>231902</v>
      </c>
      <c r="H3" s="78">
        <v>242457</v>
      </c>
      <c r="I3" s="78">
        <v>227009</v>
      </c>
      <c r="J3" s="78">
        <v>227620</v>
      </c>
      <c r="K3" s="78">
        <v>212960</v>
      </c>
      <c r="L3" s="78">
        <v>243149</v>
      </c>
    </row>
    <row r="4" spans="2:12" x14ac:dyDescent="0.25">
      <c r="B4" s="64">
        <v>2</v>
      </c>
      <c r="C4" s="78">
        <v>237199</v>
      </c>
      <c r="D4" s="78">
        <v>228223</v>
      </c>
      <c r="E4" s="78">
        <v>217839</v>
      </c>
      <c r="F4" s="78">
        <v>229035</v>
      </c>
      <c r="G4" s="78">
        <v>213988</v>
      </c>
      <c r="H4" s="78">
        <v>235671</v>
      </c>
      <c r="I4" s="78">
        <v>235745</v>
      </c>
      <c r="J4" s="78">
        <v>215658</v>
      </c>
      <c r="K4" s="78">
        <v>213380</v>
      </c>
      <c r="L4" s="78">
        <v>246626</v>
      </c>
    </row>
    <row r="5" spans="2:12" x14ac:dyDescent="0.25">
      <c r="B5" s="64">
        <v>3</v>
      </c>
      <c r="C5" s="78">
        <v>215607</v>
      </c>
      <c r="D5" s="78">
        <v>213016</v>
      </c>
      <c r="E5" s="78">
        <v>229951</v>
      </c>
      <c r="F5" s="78">
        <v>215070</v>
      </c>
      <c r="G5" s="78">
        <v>243371</v>
      </c>
      <c r="H5" s="78">
        <v>234835</v>
      </c>
      <c r="I5" s="78">
        <v>267437</v>
      </c>
      <c r="J5" s="78">
        <v>241019</v>
      </c>
      <c r="K5" s="78">
        <v>226210</v>
      </c>
      <c r="L5" s="78">
        <v>234828</v>
      </c>
    </row>
    <row r="6" spans="2:12" x14ac:dyDescent="0.25">
      <c r="B6" s="64">
        <v>4</v>
      </c>
      <c r="C6" s="78">
        <v>264699</v>
      </c>
      <c r="D6" s="78">
        <v>218787</v>
      </c>
      <c r="E6" s="78">
        <v>225193</v>
      </c>
      <c r="F6" s="78">
        <v>248941</v>
      </c>
      <c r="G6" s="78">
        <v>247630</v>
      </c>
      <c r="H6" s="78">
        <v>222750</v>
      </c>
      <c r="I6" s="78">
        <v>244717</v>
      </c>
      <c r="J6" s="78">
        <v>226111</v>
      </c>
      <c r="K6" s="78">
        <v>268343</v>
      </c>
      <c r="L6" s="78">
        <v>223375</v>
      </c>
    </row>
    <row r="7" spans="2:12" x14ac:dyDescent="0.25">
      <c r="B7" s="64">
        <v>5</v>
      </c>
      <c r="C7" s="78">
        <v>239239</v>
      </c>
      <c r="D7" s="78">
        <v>247859</v>
      </c>
      <c r="E7" s="78">
        <v>216205</v>
      </c>
      <c r="F7" s="78">
        <v>238280</v>
      </c>
      <c r="G7" s="78">
        <v>229294</v>
      </c>
      <c r="H7" s="78">
        <v>225167</v>
      </c>
      <c r="I7" s="78">
        <v>211772</v>
      </c>
      <c r="J7" s="78">
        <v>208012</v>
      </c>
      <c r="K7" s="78">
        <v>243721</v>
      </c>
      <c r="L7" s="78">
        <v>245683</v>
      </c>
    </row>
    <row r="8" spans="2:12" x14ac:dyDescent="0.25">
      <c r="B8" s="64">
        <v>6</v>
      </c>
      <c r="C8" s="78">
        <v>226442</v>
      </c>
      <c r="D8" s="78">
        <v>245281</v>
      </c>
      <c r="E8" s="78">
        <v>239675</v>
      </c>
      <c r="F8" s="78">
        <v>234215</v>
      </c>
      <c r="G8" s="78">
        <v>241092</v>
      </c>
      <c r="H8" s="78">
        <v>226017</v>
      </c>
      <c r="I8" s="78">
        <v>207341</v>
      </c>
      <c r="J8" s="78">
        <v>244213</v>
      </c>
      <c r="K8" s="78">
        <v>223234</v>
      </c>
      <c r="L8" s="78">
        <v>236676</v>
      </c>
    </row>
    <row r="9" spans="2:12" x14ac:dyDescent="0.25">
      <c r="B9" s="64">
        <v>7</v>
      </c>
      <c r="C9" s="78">
        <v>228217</v>
      </c>
      <c r="D9" s="78">
        <v>239709</v>
      </c>
      <c r="E9" s="78">
        <v>224293</v>
      </c>
      <c r="F9" s="78">
        <v>237112</v>
      </c>
      <c r="G9" s="78">
        <v>234999</v>
      </c>
      <c r="H9" s="78">
        <v>241641</v>
      </c>
      <c r="I9" s="78">
        <v>222312</v>
      </c>
      <c r="J9" s="78">
        <v>231560</v>
      </c>
      <c r="K9" s="78">
        <v>222256</v>
      </c>
      <c r="L9" s="78">
        <v>246529</v>
      </c>
    </row>
    <row r="10" spans="2:12" x14ac:dyDescent="0.25">
      <c r="B10" s="64">
        <v>8</v>
      </c>
      <c r="C10" s="78">
        <v>209405</v>
      </c>
      <c r="D10" s="78">
        <v>225454</v>
      </c>
      <c r="E10" s="78">
        <v>217253</v>
      </c>
      <c r="F10" s="78">
        <v>269368</v>
      </c>
      <c r="G10" s="78">
        <v>228138</v>
      </c>
      <c r="H10" s="78">
        <v>211402</v>
      </c>
      <c r="I10" s="78">
        <v>241511</v>
      </c>
      <c r="J10" s="78">
        <v>219004</v>
      </c>
      <c r="K10" s="78">
        <v>232155</v>
      </c>
      <c r="L10" s="78">
        <v>243253</v>
      </c>
    </row>
    <row r="11" spans="2:12" x14ac:dyDescent="0.25">
      <c r="B11" s="64">
        <v>9</v>
      </c>
      <c r="C11" s="78">
        <v>232591</v>
      </c>
      <c r="D11" s="78">
        <v>219057</v>
      </c>
      <c r="E11" s="78">
        <v>226439</v>
      </c>
      <c r="F11" s="78">
        <v>237765</v>
      </c>
      <c r="G11" s="78">
        <v>258920</v>
      </c>
      <c r="H11" s="78">
        <v>260999</v>
      </c>
      <c r="I11" s="78">
        <v>247253</v>
      </c>
      <c r="J11" s="78">
        <v>249511</v>
      </c>
      <c r="K11" s="78">
        <v>241600</v>
      </c>
      <c r="L11" s="78">
        <v>242735</v>
      </c>
    </row>
    <row r="12" spans="2:12" x14ac:dyDescent="0.25">
      <c r="B12" s="64">
        <v>10</v>
      </c>
      <c r="C12" s="78">
        <v>223705</v>
      </c>
      <c r="D12" s="78">
        <v>231029</v>
      </c>
      <c r="E12" s="78">
        <v>239406</v>
      </c>
      <c r="F12" s="78">
        <v>224057</v>
      </c>
      <c r="G12" s="78">
        <v>237386</v>
      </c>
      <c r="H12" s="78">
        <v>217229</v>
      </c>
      <c r="I12" s="78">
        <v>229620</v>
      </c>
      <c r="J12" s="78">
        <v>226018</v>
      </c>
      <c r="K12" s="78">
        <v>238863</v>
      </c>
      <c r="L12" s="78">
        <v>240690</v>
      </c>
    </row>
    <row r="13" spans="2:12" x14ac:dyDescent="0.25">
      <c r="B13" s="64">
        <v>11</v>
      </c>
      <c r="C13" s="78">
        <v>243073</v>
      </c>
      <c r="D13" s="78">
        <v>230328</v>
      </c>
      <c r="E13" s="78">
        <v>258111</v>
      </c>
      <c r="F13" s="78">
        <v>256945</v>
      </c>
      <c r="G13" s="78">
        <v>227826</v>
      </c>
      <c r="H13" s="78">
        <v>244867</v>
      </c>
      <c r="I13" s="78">
        <v>239124</v>
      </c>
      <c r="J13" s="78">
        <v>227268</v>
      </c>
      <c r="K13" s="78">
        <v>236319</v>
      </c>
      <c r="L13" s="78">
        <v>216699</v>
      </c>
    </row>
    <row r="14" spans="2:12" x14ac:dyDescent="0.25">
      <c r="B14" s="64">
        <v>12</v>
      </c>
      <c r="C14" s="78">
        <v>253715</v>
      </c>
      <c r="D14" s="78">
        <v>244755</v>
      </c>
      <c r="E14" s="78">
        <v>269482</v>
      </c>
      <c r="F14" s="78">
        <v>224936</v>
      </c>
      <c r="G14" s="78">
        <v>219870</v>
      </c>
      <c r="H14" s="78">
        <v>233575</v>
      </c>
      <c r="I14" s="78">
        <v>230984</v>
      </c>
      <c r="J14" s="78">
        <v>208422</v>
      </c>
      <c r="K14" s="78">
        <v>253741</v>
      </c>
      <c r="L14" s="78">
        <v>217113</v>
      </c>
    </row>
    <row r="15" spans="2:12" x14ac:dyDescent="0.25">
      <c r="B15" s="64">
        <v>13</v>
      </c>
      <c r="C15" s="78">
        <v>243565</v>
      </c>
      <c r="D15" s="78">
        <v>209749</v>
      </c>
      <c r="E15" s="78">
        <v>241056</v>
      </c>
      <c r="F15" s="78">
        <v>258985</v>
      </c>
      <c r="G15" s="78">
        <v>204561</v>
      </c>
      <c r="H15" s="78">
        <v>216948</v>
      </c>
      <c r="I15" s="78">
        <v>219393</v>
      </c>
      <c r="J15" s="78">
        <v>219543</v>
      </c>
      <c r="K15" s="78">
        <v>252301</v>
      </c>
      <c r="L15" s="78">
        <v>229981</v>
      </c>
    </row>
    <row r="16" spans="2:12" x14ac:dyDescent="0.25">
      <c r="B16" s="64">
        <v>14</v>
      </c>
      <c r="C16" s="78">
        <v>210963</v>
      </c>
      <c r="D16" s="78">
        <v>240163</v>
      </c>
      <c r="E16" s="78">
        <v>268617</v>
      </c>
      <c r="F16" s="78">
        <v>237889</v>
      </c>
      <c r="G16" s="78">
        <v>252114</v>
      </c>
      <c r="H16" s="78">
        <v>239170</v>
      </c>
      <c r="I16" s="78">
        <v>249377</v>
      </c>
      <c r="J16" s="78">
        <v>255295</v>
      </c>
      <c r="K16" s="78">
        <v>218817</v>
      </c>
      <c r="L16" s="78">
        <v>231555</v>
      </c>
    </row>
    <row r="17" spans="1:12" ht="24" customHeight="1" x14ac:dyDescent="0.4">
      <c r="A17" s="103" t="s">
        <v>123</v>
      </c>
      <c r="B17" s="103"/>
      <c r="C17" s="79">
        <f>AVERAGE(Table14567891023411122830[No. Of Iterations Block Of Text - Run 1])</f>
        <v>232301.21428571429</v>
      </c>
      <c r="D17" s="7">
        <f>AVERAGE(Table14567891023411122830[No. Of Iterations Block Of Text - Run 2])</f>
        <v>230383.35714285713</v>
      </c>
      <c r="E17" s="7">
        <f>AVERAGE(Table14567891023411122830[No. Of Iterations Block Of Text - Run 3])</f>
        <v>234852.71428571429</v>
      </c>
      <c r="F17" s="7">
        <f>AVERAGE(Table14567891023411122830[No. Of Iterations Block Of Text - Run 4])</f>
        <v>239929.71428571429</v>
      </c>
      <c r="G17" s="7">
        <f>AVERAGE(Table14567891023411122830[No. Of Iterations Block Of Text - Run 5])</f>
        <v>233649.35714285713</v>
      </c>
      <c r="H17" s="7">
        <f>AVERAGE(Table14567891023411122830[No. Of Iterations Block Of Text - Run 6])</f>
        <v>232337.71428571429</v>
      </c>
      <c r="I17" s="7">
        <f>AVERAGE(Table14567891023411122830[No. Of Iterations Block Of Text - Run 7])</f>
        <v>233828.21428571429</v>
      </c>
      <c r="J17" s="7">
        <f>AVERAGE(Table14567891023411122830[No. Of Iterations Block Of Text - Run 8])</f>
        <v>228518.14285714287</v>
      </c>
      <c r="K17" s="7">
        <f>AVERAGE(Table14567891023411122830[No. Of Iterations Block Of Text - Run 9])</f>
        <v>234564.28571428571</v>
      </c>
      <c r="L17" s="7">
        <f>AVERAGE(Table14567891023411122830[No. Of Iterations Block Of Text - Run 10])</f>
        <v>235635.14285714287</v>
      </c>
    </row>
    <row r="18" spans="1:12" ht="24" x14ac:dyDescent="0.4">
      <c r="A18" s="103" t="s">
        <v>124</v>
      </c>
      <c r="B18" s="103"/>
      <c r="C18" s="79">
        <f>MIN(Table14567891023411122830[No. Of Iterations Block Of Text - Run 1])</f>
        <v>209405</v>
      </c>
      <c r="D18" s="7">
        <f>MIN(Table14567891023411122830[No. Of Iterations Block Of Text - Run 2])</f>
        <v>209749</v>
      </c>
      <c r="E18" s="7">
        <f>MIN(Table14567891023411122830[No. Of Iterations Block Of Text - Run 3])</f>
        <v>214418</v>
      </c>
      <c r="F18" s="7">
        <f>MIN(Table14567891023411122830[No. Of Iterations Block Of Text - Run 4])</f>
        <v>215070</v>
      </c>
      <c r="G18" s="7">
        <f>MIN(Table14567891023411122830[No. Of Iterations Block Of Text - Run 5])</f>
        <v>204561</v>
      </c>
      <c r="H18" s="7">
        <f>MIN(Table14567891023411122830[No. Of Iterations Block Of Text - Run 6])</f>
        <v>211402</v>
      </c>
      <c r="I18" s="7">
        <f>MIN(Table14567891023411122830[No. Of Iterations Block Of Text - Run 7])</f>
        <v>207341</v>
      </c>
      <c r="J18" s="7">
        <f>MIN(Table14567891023411122830[No. Of Iterations Block Of Text - Run 8])</f>
        <v>208012</v>
      </c>
      <c r="K18" s="7">
        <f>MIN(Table14567891023411122830[No. Of Iterations Block Of Text - Run 9])</f>
        <v>212960</v>
      </c>
      <c r="L18" s="7">
        <f>MIN(Table14567891023411122830[No. Of Iterations Block Of Text - Run 10])</f>
        <v>216699</v>
      </c>
    </row>
    <row r="19" spans="1:12" ht="24" x14ac:dyDescent="0.4">
      <c r="A19" s="103" t="s">
        <v>125</v>
      </c>
      <c r="B19" s="133"/>
      <c r="C19" s="79">
        <f>MAX(Table14567891023411122830[No. Of Iterations Block Of Text - Run 1])</f>
        <v>264699</v>
      </c>
      <c r="D19" s="7">
        <f>MAX(Table14567891023411122830[No. Of Iterations Block Of Text - Run 2])</f>
        <v>247859</v>
      </c>
      <c r="E19" s="7">
        <f>MAX(Table14567891023411122830[No. Of Iterations Block Of Text - Run 3])</f>
        <v>269482</v>
      </c>
      <c r="F19" s="7">
        <f>MAX(Table14567891023411122830[No. Of Iterations Block Of Text - Run 4])</f>
        <v>269368</v>
      </c>
      <c r="G19" s="7">
        <f>MAX(Table14567891023411122830[No. Of Iterations Block Of Text - Run 5])</f>
        <v>258920</v>
      </c>
      <c r="H19" s="7">
        <f>MAX(Table14567891023411122830[No. Of Iterations Block Of Text - Run 6])</f>
        <v>260999</v>
      </c>
      <c r="I19" s="7">
        <f>MAX(Table14567891023411122830[No. Of Iterations Block Of Text - Run 7])</f>
        <v>267437</v>
      </c>
      <c r="J19" s="7">
        <f>MAX(Table14567891023411122830[No. Of Iterations Block Of Text - Run 8])</f>
        <v>255295</v>
      </c>
      <c r="K19" s="7">
        <f>MAX(Table14567891023411122830[No. Of Iterations Block Of Text - Run 9])</f>
        <v>268343</v>
      </c>
      <c r="L19" s="7">
        <f>MAX(Table14567891023411122830[No. Of Iterations Block Of Text - Run 10])</f>
        <v>246626</v>
      </c>
    </row>
    <row r="20" spans="1:12" ht="24" x14ac:dyDescent="0.4">
      <c r="A20" s="103" t="s">
        <v>126</v>
      </c>
      <c r="B20" s="133"/>
      <c r="C20" s="79">
        <f>C19-C18</f>
        <v>55294</v>
      </c>
      <c r="D20" s="7">
        <f t="shared" ref="D20:L20" si="0">D19-D18</f>
        <v>38110</v>
      </c>
      <c r="E20" s="7">
        <f>E19-E18</f>
        <v>55064</v>
      </c>
      <c r="F20" s="7">
        <f>F19-F18</f>
        <v>54298</v>
      </c>
      <c r="G20" s="7">
        <f t="shared" si="0"/>
        <v>54359</v>
      </c>
      <c r="H20" s="7">
        <f t="shared" si="0"/>
        <v>49597</v>
      </c>
      <c r="I20" s="7">
        <f t="shared" si="0"/>
        <v>60096</v>
      </c>
      <c r="J20" s="7">
        <f t="shared" si="0"/>
        <v>47283</v>
      </c>
      <c r="K20" s="7">
        <f t="shared" si="0"/>
        <v>55383</v>
      </c>
      <c r="L20" s="7">
        <f t="shared" si="0"/>
        <v>29927</v>
      </c>
    </row>
    <row r="21" spans="1:12" ht="24" x14ac:dyDescent="0.4">
      <c r="A21" s="103" t="s">
        <v>127</v>
      </c>
      <c r="B21" s="133"/>
      <c r="C21" s="83">
        <f>C20/C18</f>
        <v>0.26405291182158974</v>
      </c>
      <c r="D21" s="84">
        <f t="shared" ref="D21:L21" si="1">D20/D18</f>
        <v>0.18169335729848532</v>
      </c>
      <c r="E21" s="84">
        <f t="shared" si="1"/>
        <v>0.25680679793674038</v>
      </c>
      <c r="F21" s="84">
        <f t="shared" si="1"/>
        <v>0.25246663876877296</v>
      </c>
      <c r="G21" s="84">
        <f t="shared" si="1"/>
        <v>0.26573491525755155</v>
      </c>
      <c r="H21" s="84">
        <f t="shared" si="1"/>
        <v>0.2346098901618717</v>
      </c>
      <c r="I21" s="84">
        <f t="shared" si="1"/>
        <v>0.28984137242513541</v>
      </c>
      <c r="J21" s="84">
        <f t="shared" si="1"/>
        <v>0.22730900140376517</v>
      </c>
      <c r="K21" s="84">
        <f t="shared" si="1"/>
        <v>0.26006292261457553</v>
      </c>
      <c r="L21" s="84">
        <f t="shared" si="1"/>
        <v>0.13810400601756354</v>
      </c>
    </row>
    <row r="22" spans="1:12" ht="31.5" x14ac:dyDescent="0.5">
      <c r="A22" s="103" t="s">
        <v>128</v>
      </c>
      <c r="B22" s="133"/>
      <c r="C22" s="85">
        <f>MIN(C21:L21)</f>
        <v>0.13810400601756354</v>
      </c>
      <c r="D22" s="7"/>
      <c r="E22" s="7"/>
      <c r="F22" s="7"/>
      <c r="G22" s="7"/>
      <c r="H22" s="7"/>
      <c r="I22" s="7"/>
      <c r="J22" s="7"/>
      <c r="K22" s="7"/>
      <c r="L22" s="7"/>
    </row>
    <row r="23" spans="1:12" ht="31.5" x14ac:dyDescent="0.5">
      <c r="A23" s="103" t="s">
        <v>129</v>
      </c>
      <c r="B23" s="133"/>
      <c r="C23" s="85">
        <f>MAX(C21:L21)</f>
        <v>0.28984137242513541</v>
      </c>
      <c r="D23" s="7"/>
      <c r="E23" s="7"/>
      <c r="F23" s="7"/>
      <c r="G23" s="7"/>
      <c r="H23" s="7"/>
      <c r="I23" s="7"/>
      <c r="J23" s="7"/>
      <c r="K23" s="7"/>
      <c r="L23" s="7"/>
    </row>
    <row r="24" spans="1:12" ht="24" x14ac:dyDescent="0.4">
      <c r="A24" s="103" t="s">
        <v>130</v>
      </c>
      <c r="B24" s="133"/>
      <c r="C24" s="84">
        <f>AVERAGE(C21:L21)</f>
        <v>0.23706818137060512</v>
      </c>
      <c r="D24" s="7"/>
      <c r="E24" s="7"/>
      <c r="F24" s="7"/>
      <c r="G24" s="7"/>
      <c r="H24" s="7"/>
      <c r="I24" s="7"/>
      <c r="J24" s="7"/>
      <c r="K24" s="7"/>
      <c r="L24" s="7"/>
    </row>
    <row r="25" spans="1:12" ht="24" x14ac:dyDescent="0.4">
      <c r="A25" s="103" t="s">
        <v>138</v>
      </c>
      <c r="B25" s="133"/>
      <c r="C25" s="59">
        <f>AVERAGE(C17:L17)</f>
        <v>233599.98571428572</v>
      </c>
    </row>
    <row r="26" spans="1:12" x14ac:dyDescent="0.25">
      <c r="A26" s="9"/>
      <c r="B26" s="9"/>
    </row>
    <row r="27" spans="1:12" ht="26.25" x14ac:dyDescent="0.25">
      <c r="B27" s="108" t="s">
        <v>148</v>
      </c>
      <c r="C27" s="108"/>
      <c r="D27" s="108"/>
      <c r="E27" s="108"/>
      <c r="F27" s="108"/>
      <c r="G27" s="108"/>
      <c r="H27" s="108"/>
      <c r="I27" s="108"/>
      <c r="J27" s="108"/>
      <c r="K27" s="108"/>
      <c r="L27" s="108"/>
    </row>
    <row r="28" spans="1:12" ht="45" x14ac:dyDescent="0.25">
      <c r="B28" s="14" t="s">
        <v>0</v>
      </c>
      <c r="C28" s="2" t="s">
        <v>113</v>
      </c>
      <c r="D28" s="2" t="s">
        <v>114</v>
      </c>
      <c r="E28" s="2" t="s">
        <v>115</v>
      </c>
      <c r="F28" s="2" t="s">
        <v>116</v>
      </c>
      <c r="G28" s="2" t="s">
        <v>117</v>
      </c>
      <c r="H28" s="2" t="s">
        <v>118</v>
      </c>
      <c r="I28" s="2" t="s">
        <v>119</v>
      </c>
      <c r="J28" s="2" t="s">
        <v>120</v>
      </c>
      <c r="K28" s="2" t="s">
        <v>121</v>
      </c>
      <c r="L28" s="2" t="s">
        <v>122</v>
      </c>
    </row>
    <row r="29" spans="1:12" x14ac:dyDescent="0.25">
      <c r="B29" s="64">
        <v>1</v>
      </c>
      <c r="C29" s="78">
        <v>246024</v>
      </c>
      <c r="D29" s="78">
        <v>250286</v>
      </c>
      <c r="E29" s="78">
        <v>256595</v>
      </c>
      <c r="F29" s="78">
        <v>235141</v>
      </c>
      <c r="G29" s="78">
        <v>228529</v>
      </c>
      <c r="H29" s="78">
        <v>265621</v>
      </c>
      <c r="I29" s="78">
        <v>245238</v>
      </c>
      <c r="J29" s="78">
        <v>266633</v>
      </c>
      <c r="K29" s="78">
        <v>228506</v>
      </c>
      <c r="L29" s="78">
        <v>248853</v>
      </c>
    </row>
    <row r="30" spans="1:12" x14ac:dyDescent="0.25">
      <c r="B30" s="64">
        <v>2</v>
      </c>
      <c r="C30" s="78">
        <v>274248</v>
      </c>
      <c r="D30" s="78">
        <v>246184</v>
      </c>
      <c r="E30" s="78">
        <v>258756</v>
      </c>
      <c r="F30" s="78">
        <v>253136</v>
      </c>
      <c r="G30" s="78">
        <v>269560</v>
      </c>
      <c r="H30" s="78">
        <v>235320</v>
      </c>
      <c r="I30" s="78">
        <v>229567</v>
      </c>
      <c r="J30" s="78">
        <v>259571</v>
      </c>
      <c r="K30" s="78">
        <v>256407</v>
      </c>
      <c r="L30" s="78">
        <v>220932</v>
      </c>
    </row>
    <row r="31" spans="1:12" x14ac:dyDescent="0.25">
      <c r="B31" s="64">
        <v>3</v>
      </c>
      <c r="C31" s="78">
        <v>234855</v>
      </c>
      <c r="D31" s="78">
        <v>222941</v>
      </c>
      <c r="E31" s="78">
        <v>244718</v>
      </c>
      <c r="F31" s="78">
        <v>292340</v>
      </c>
      <c r="G31" s="78">
        <v>234791</v>
      </c>
      <c r="H31" s="78">
        <v>256671</v>
      </c>
      <c r="I31" s="78">
        <v>244481</v>
      </c>
      <c r="J31" s="78">
        <v>244820</v>
      </c>
      <c r="K31" s="78">
        <v>231115</v>
      </c>
      <c r="L31" s="78">
        <v>233174</v>
      </c>
    </row>
    <row r="32" spans="1:12" x14ac:dyDescent="0.25">
      <c r="B32" s="64">
        <v>4</v>
      </c>
      <c r="C32" s="78">
        <v>255830</v>
      </c>
      <c r="D32" s="78">
        <v>270663</v>
      </c>
      <c r="E32" s="78">
        <v>259278</v>
      </c>
      <c r="F32" s="78">
        <v>273749</v>
      </c>
      <c r="G32" s="78">
        <v>245597</v>
      </c>
      <c r="H32" s="78">
        <v>246860</v>
      </c>
      <c r="I32" s="78">
        <v>235403</v>
      </c>
      <c r="J32" s="78">
        <v>242481</v>
      </c>
      <c r="K32" s="78">
        <v>258319</v>
      </c>
      <c r="L32" s="78">
        <v>283687</v>
      </c>
    </row>
    <row r="33" spans="1:12" x14ac:dyDescent="0.25">
      <c r="B33" s="64">
        <v>5</v>
      </c>
      <c r="C33" s="78">
        <v>236467</v>
      </c>
      <c r="D33" s="78">
        <v>255864</v>
      </c>
      <c r="E33" s="78">
        <v>260666</v>
      </c>
      <c r="F33" s="78">
        <v>263368</v>
      </c>
      <c r="G33" s="78">
        <v>242979</v>
      </c>
      <c r="H33" s="78">
        <v>258719</v>
      </c>
      <c r="I33" s="78">
        <v>238556</v>
      </c>
      <c r="J33" s="78">
        <v>235931</v>
      </c>
      <c r="K33" s="78">
        <v>243273</v>
      </c>
      <c r="L33" s="78">
        <v>254332</v>
      </c>
    </row>
    <row r="34" spans="1:12" x14ac:dyDescent="0.25">
      <c r="B34" s="64">
        <v>6</v>
      </c>
      <c r="C34" s="78">
        <v>281358</v>
      </c>
      <c r="D34" s="78">
        <v>259892</v>
      </c>
      <c r="E34" s="78">
        <v>286591</v>
      </c>
      <c r="F34" s="78">
        <v>258024</v>
      </c>
      <c r="G34" s="78">
        <v>253021</v>
      </c>
      <c r="H34" s="78">
        <v>234389</v>
      </c>
      <c r="I34" s="78">
        <v>282023</v>
      </c>
      <c r="J34" s="78">
        <v>219516</v>
      </c>
      <c r="K34" s="78">
        <v>255310</v>
      </c>
      <c r="L34" s="78">
        <v>259194</v>
      </c>
    </row>
    <row r="35" spans="1:12" x14ac:dyDescent="0.25">
      <c r="B35" s="64">
        <v>7</v>
      </c>
      <c r="C35" s="78">
        <v>250300</v>
      </c>
      <c r="D35" s="78">
        <v>235810</v>
      </c>
      <c r="E35" s="78">
        <v>240926</v>
      </c>
      <c r="F35" s="78">
        <v>244216</v>
      </c>
      <c r="G35" s="78">
        <v>248183</v>
      </c>
      <c r="H35" s="78">
        <v>236503</v>
      </c>
      <c r="I35" s="78">
        <v>259277</v>
      </c>
      <c r="J35" s="78">
        <v>265072</v>
      </c>
      <c r="K35" s="78">
        <v>267567</v>
      </c>
      <c r="L35" s="78">
        <v>227946</v>
      </c>
    </row>
    <row r="36" spans="1:12" x14ac:dyDescent="0.25">
      <c r="B36" s="64">
        <v>8</v>
      </c>
      <c r="C36" s="78">
        <v>247731</v>
      </c>
      <c r="D36" s="78">
        <v>241159</v>
      </c>
      <c r="E36" s="78">
        <v>253466</v>
      </c>
      <c r="F36" s="78">
        <v>240168</v>
      </c>
      <c r="G36" s="78">
        <v>251498</v>
      </c>
      <c r="H36" s="78">
        <v>276288</v>
      </c>
      <c r="I36" s="78">
        <v>240054</v>
      </c>
      <c r="J36" s="78">
        <v>248649</v>
      </c>
      <c r="K36" s="78">
        <v>240085</v>
      </c>
      <c r="L36" s="78">
        <v>228261</v>
      </c>
    </row>
    <row r="37" spans="1:12" x14ac:dyDescent="0.25">
      <c r="B37" s="64">
        <v>9</v>
      </c>
      <c r="C37" s="78">
        <v>294324</v>
      </c>
      <c r="D37" s="78">
        <v>257266</v>
      </c>
      <c r="E37" s="78">
        <v>271216</v>
      </c>
      <c r="F37" s="78">
        <v>250394</v>
      </c>
      <c r="G37" s="78">
        <v>243769</v>
      </c>
      <c r="H37" s="78">
        <v>255502</v>
      </c>
      <c r="I37" s="78">
        <v>241680</v>
      </c>
      <c r="J37" s="78">
        <v>262532</v>
      </c>
      <c r="K37" s="78">
        <v>234492</v>
      </c>
      <c r="L37" s="78">
        <v>263620</v>
      </c>
    </row>
    <row r="38" spans="1:12" x14ac:dyDescent="0.25">
      <c r="B38" s="64">
        <v>10</v>
      </c>
      <c r="C38" s="78">
        <v>258987</v>
      </c>
      <c r="D38" s="78">
        <v>254880</v>
      </c>
      <c r="E38" s="78">
        <v>253928</v>
      </c>
      <c r="F38" s="78">
        <v>265017</v>
      </c>
      <c r="G38" s="78">
        <v>266002</v>
      </c>
      <c r="H38" s="78">
        <v>241956</v>
      </c>
      <c r="I38" s="78">
        <v>264854</v>
      </c>
      <c r="J38" s="78">
        <v>239420</v>
      </c>
      <c r="K38" s="78">
        <v>241952</v>
      </c>
      <c r="L38" s="78">
        <v>264829</v>
      </c>
    </row>
    <row r="39" spans="1:12" x14ac:dyDescent="0.25">
      <c r="B39" s="64">
        <v>11</v>
      </c>
      <c r="C39" s="78">
        <v>246918</v>
      </c>
      <c r="D39" s="78">
        <v>253776</v>
      </c>
      <c r="E39" s="78">
        <v>268966</v>
      </c>
      <c r="F39" s="78">
        <v>247552</v>
      </c>
      <c r="G39" s="78">
        <v>255318</v>
      </c>
      <c r="H39" s="78">
        <v>252022</v>
      </c>
      <c r="I39" s="78">
        <v>266786</v>
      </c>
      <c r="J39" s="78">
        <v>239804</v>
      </c>
      <c r="K39" s="78">
        <v>273771</v>
      </c>
      <c r="L39" s="78">
        <v>236415</v>
      </c>
    </row>
    <row r="40" spans="1:12" x14ac:dyDescent="0.25">
      <c r="B40" s="64">
        <v>12</v>
      </c>
      <c r="C40" s="78">
        <v>236702</v>
      </c>
      <c r="D40" s="78">
        <v>265601</v>
      </c>
      <c r="E40" s="78">
        <v>267195</v>
      </c>
      <c r="F40" s="78">
        <v>259097</v>
      </c>
      <c r="G40" s="78">
        <v>263919</v>
      </c>
      <c r="H40" s="78">
        <v>290036</v>
      </c>
      <c r="I40" s="78">
        <v>251893</v>
      </c>
      <c r="J40" s="78">
        <v>271095</v>
      </c>
      <c r="K40" s="78">
        <v>264792</v>
      </c>
      <c r="L40" s="78">
        <v>257511</v>
      </c>
    </row>
    <row r="41" spans="1:12" x14ac:dyDescent="0.25">
      <c r="B41" s="64">
        <v>13</v>
      </c>
      <c r="C41" s="78">
        <v>260879</v>
      </c>
      <c r="D41" s="78">
        <v>257523</v>
      </c>
      <c r="E41" s="78">
        <v>265603</v>
      </c>
      <c r="F41" s="78">
        <v>238011</v>
      </c>
      <c r="G41" s="78">
        <v>253443</v>
      </c>
      <c r="H41" s="78">
        <v>232219</v>
      </c>
      <c r="I41" s="78">
        <v>276690</v>
      </c>
      <c r="J41" s="78">
        <v>247958</v>
      </c>
      <c r="K41" s="78">
        <v>249903</v>
      </c>
      <c r="L41" s="78">
        <v>235290</v>
      </c>
    </row>
    <row r="42" spans="1:12" x14ac:dyDescent="0.25">
      <c r="B42" s="64">
        <v>14</v>
      </c>
      <c r="C42" s="78">
        <v>259050</v>
      </c>
      <c r="D42" s="78">
        <v>264571</v>
      </c>
      <c r="E42" s="78">
        <v>254014</v>
      </c>
      <c r="F42" s="78">
        <v>250653</v>
      </c>
      <c r="G42" s="78">
        <v>251380</v>
      </c>
      <c r="H42" s="78">
        <v>251471</v>
      </c>
      <c r="I42" s="78">
        <v>246342</v>
      </c>
      <c r="J42" s="78">
        <v>255795</v>
      </c>
      <c r="K42" s="78">
        <v>247122</v>
      </c>
      <c r="L42" s="78">
        <v>265466</v>
      </c>
    </row>
    <row r="43" spans="1:12" ht="24" x14ac:dyDescent="0.4">
      <c r="A43" s="103" t="s">
        <v>123</v>
      </c>
      <c r="B43" s="103"/>
      <c r="C43" s="79">
        <f>AVERAGE(Table1456789102341112132931[No. Of Iterations Block Of Text - Run 1])</f>
        <v>255976.64285714287</v>
      </c>
      <c r="D43" s="7">
        <f>AVERAGE(Table1456789102341112132931[No. Of Iterations Block Of Text - Run 2])</f>
        <v>252601.14285714287</v>
      </c>
      <c r="E43" s="7">
        <f>AVERAGE(Table1456789102341112132931[No. Of Iterations Block Of Text - Run 3])</f>
        <v>260137</v>
      </c>
      <c r="F43" s="7">
        <f>AVERAGE(Table1456789102341112132931[No. Of Iterations Block Of Text - Run 4])</f>
        <v>255061.85714285713</v>
      </c>
      <c r="G43" s="7">
        <f>AVERAGE(Table1456789102341112132931[No. Of Iterations Block Of Text - Run 5])</f>
        <v>250570.64285714287</v>
      </c>
      <c r="H43" s="7">
        <f>AVERAGE(Table1456789102341112132931[No. Of Iterations Block Of Text - Run 6])</f>
        <v>252398.35714285713</v>
      </c>
      <c r="I43" s="7">
        <f>AVERAGE(Table1456789102341112132931[No. Of Iterations Block Of Text - Run 7])</f>
        <v>251631.71428571429</v>
      </c>
      <c r="J43" s="7">
        <f>AVERAGE(Table1456789102341112132931[No. Of Iterations Block Of Text - Run 8])</f>
        <v>249948.35714285713</v>
      </c>
      <c r="K43" s="7">
        <f>AVERAGE(Table1456789102341112132931[No. Of Iterations Block Of Text - Run 9])</f>
        <v>249472.42857142858</v>
      </c>
      <c r="L43" s="7">
        <f>AVERAGE(Table1456789102341112132931[No. Of Iterations Block Of Text - Run 10])</f>
        <v>248536.42857142858</v>
      </c>
    </row>
    <row r="44" spans="1:12" ht="24" x14ac:dyDescent="0.4">
      <c r="A44" s="103" t="s">
        <v>124</v>
      </c>
      <c r="B44" s="103"/>
      <c r="C44" s="79">
        <f>MIN(Table1456789102341112132931[No. Of Iterations Block Of Text - Run 1])</f>
        <v>234855</v>
      </c>
      <c r="D44" s="7">
        <f>MIN(Table1456789102341112132931[No. Of Iterations Block Of Text - Run 2])</f>
        <v>222941</v>
      </c>
      <c r="E44" s="7">
        <f>MIN(Table1456789102341112132931[No. Of Iterations Block Of Text - Run 3])</f>
        <v>240926</v>
      </c>
      <c r="F44" s="7">
        <f>MIN(Table1456789102341112132931[No. Of Iterations Block Of Text - Run 4])</f>
        <v>235141</v>
      </c>
      <c r="G44" s="7">
        <f>MIN(Table1456789102341112132931[No. Of Iterations Block Of Text - Run 5])</f>
        <v>228529</v>
      </c>
      <c r="H44" s="7">
        <f>MIN(Table1456789102341112132931[No. Of Iterations Block Of Text - Run 6])</f>
        <v>232219</v>
      </c>
      <c r="I44" s="7">
        <f>MIN(Table1456789102341112132931[No. Of Iterations Block Of Text - Run 7])</f>
        <v>229567</v>
      </c>
      <c r="J44" s="7">
        <f>MIN(Table1456789102341112132931[No. Of Iterations Block Of Text - Run 8])</f>
        <v>219516</v>
      </c>
      <c r="K44" s="7">
        <f>MIN(Table1456789102341112132931[No. Of Iterations Block Of Text - Run 9])</f>
        <v>228506</v>
      </c>
      <c r="L44" s="7">
        <f>MIN(Table1456789102341112132931[No. Of Iterations Block Of Text - Run 10])</f>
        <v>220932</v>
      </c>
    </row>
    <row r="45" spans="1:12" ht="24" x14ac:dyDescent="0.4">
      <c r="A45" s="103" t="s">
        <v>125</v>
      </c>
      <c r="B45" s="133"/>
      <c r="C45" s="79">
        <f>MAX(Table1456789102341112132931[No. Of Iterations Block Of Text - Run 1])</f>
        <v>294324</v>
      </c>
      <c r="D45" s="7">
        <f>MAX(Table1456789102341112132931[No. Of Iterations Block Of Text - Run 2])</f>
        <v>270663</v>
      </c>
      <c r="E45" s="7">
        <f>MAX(Table1456789102341112132931[No. Of Iterations Block Of Text - Run 3])</f>
        <v>286591</v>
      </c>
      <c r="F45" s="7">
        <f>MAX(Table1456789102341112132931[No. Of Iterations Block Of Text - Run 4])</f>
        <v>292340</v>
      </c>
      <c r="G45" s="7">
        <f>MAX(Table1456789102341112132931[No. Of Iterations Block Of Text - Run 5])</f>
        <v>269560</v>
      </c>
      <c r="H45" s="7">
        <f>MAX(Table1456789102341112132931[No. Of Iterations Block Of Text - Run 6])</f>
        <v>290036</v>
      </c>
      <c r="I45" s="7">
        <f>MAX(Table1456789102341112132931[No. Of Iterations Block Of Text - Run 7])</f>
        <v>282023</v>
      </c>
      <c r="J45" s="7">
        <f>MAX(Table1456789102341112132931[No. Of Iterations Block Of Text - Run 8])</f>
        <v>271095</v>
      </c>
      <c r="K45" s="7">
        <f>MAX(Table1456789102341112132931[No. Of Iterations Block Of Text - Run 9])</f>
        <v>273771</v>
      </c>
      <c r="L45" s="7">
        <f>MAX(Table1456789102341112132931[No. Of Iterations Block Of Text - Run 10])</f>
        <v>283687</v>
      </c>
    </row>
    <row r="46" spans="1:12" ht="24" x14ac:dyDescent="0.4">
      <c r="A46" s="103" t="s">
        <v>126</v>
      </c>
      <c r="B46" s="133"/>
      <c r="C46" s="79">
        <f>C45-C44</f>
        <v>59469</v>
      </c>
      <c r="D46" s="7">
        <f t="shared" ref="D46" si="2">D45-D44</f>
        <v>47722</v>
      </c>
      <c r="E46" s="7">
        <f>E45-E44</f>
        <v>45665</v>
      </c>
      <c r="F46" s="7">
        <f>F45-F44</f>
        <v>57199</v>
      </c>
      <c r="G46" s="7">
        <f t="shared" ref="G46:L46" si="3">G45-G44</f>
        <v>41031</v>
      </c>
      <c r="H46" s="7">
        <f t="shared" si="3"/>
        <v>57817</v>
      </c>
      <c r="I46" s="7">
        <f t="shared" si="3"/>
        <v>52456</v>
      </c>
      <c r="J46" s="7">
        <f t="shared" si="3"/>
        <v>51579</v>
      </c>
      <c r="K46" s="7">
        <f t="shared" si="3"/>
        <v>45265</v>
      </c>
      <c r="L46" s="7">
        <f t="shared" si="3"/>
        <v>62755</v>
      </c>
    </row>
    <row r="47" spans="1:12" ht="24" x14ac:dyDescent="0.4">
      <c r="A47" s="103" t="s">
        <v>127</v>
      </c>
      <c r="B47" s="133"/>
      <c r="C47" s="83">
        <f>C46/C44</f>
        <v>0.25321581401290155</v>
      </c>
      <c r="D47" s="84">
        <f t="shared" ref="D47:L47" si="4">D46/D44</f>
        <v>0.21405663381791595</v>
      </c>
      <c r="E47" s="84">
        <f t="shared" si="4"/>
        <v>0.18953952665963822</v>
      </c>
      <c r="F47" s="84">
        <f t="shared" si="4"/>
        <v>0.24325404757145713</v>
      </c>
      <c r="G47" s="84">
        <f t="shared" si="4"/>
        <v>0.17954395284624708</v>
      </c>
      <c r="H47" s="84">
        <f t="shared" si="4"/>
        <v>0.24897618196616125</v>
      </c>
      <c r="I47" s="84">
        <f t="shared" si="4"/>
        <v>0.22849974081640653</v>
      </c>
      <c r="J47" s="84">
        <f t="shared" si="4"/>
        <v>0.23496692723992785</v>
      </c>
      <c r="K47" s="84">
        <f t="shared" si="4"/>
        <v>0.19809107857124103</v>
      </c>
      <c r="L47" s="84">
        <f t="shared" si="4"/>
        <v>0.28404667499502112</v>
      </c>
    </row>
    <row r="48" spans="1:12" ht="31.5" x14ac:dyDescent="0.5">
      <c r="A48" s="103" t="s">
        <v>128</v>
      </c>
      <c r="B48" s="133"/>
      <c r="C48" s="85">
        <f>MIN(C47:L47)</f>
        <v>0.17954395284624708</v>
      </c>
      <c r="D48" s="7"/>
      <c r="E48" s="7"/>
      <c r="F48" s="7"/>
      <c r="G48" s="7"/>
      <c r="H48" s="7"/>
      <c r="I48" s="7"/>
      <c r="J48" s="7"/>
      <c r="K48" s="7"/>
      <c r="L48" s="7"/>
    </row>
    <row r="49" spans="1:12" ht="31.5" x14ac:dyDescent="0.5">
      <c r="A49" s="103" t="s">
        <v>129</v>
      </c>
      <c r="B49" s="133"/>
      <c r="C49" s="85">
        <f>MAX(C47:L47)</f>
        <v>0.28404667499502112</v>
      </c>
      <c r="D49" s="7"/>
      <c r="E49" s="7"/>
      <c r="F49" s="7"/>
      <c r="G49" s="7"/>
      <c r="H49" s="7"/>
      <c r="I49" s="7"/>
      <c r="J49" s="7"/>
      <c r="K49" s="7"/>
      <c r="L49" s="7"/>
    </row>
    <row r="50" spans="1:12" ht="24" x14ac:dyDescent="0.4">
      <c r="A50" s="103" t="s">
        <v>130</v>
      </c>
      <c r="B50" s="133"/>
      <c r="C50" s="84">
        <f>AVERAGE(C47:L47)</f>
        <v>0.22741905784969174</v>
      </c>
    </row>
    <row r="51" spans="1:12" ht="24" x14ac:dyDescent="0.4">
      <c r="A51" s="103" t="s">
        <v>138</v>
      </c>
      <c r="B51" s="133"/>
      <c r="C51" s="59">
        <f>AVERAGE(C43:L43)</f>
        <v>252633.45714285714</v>
      </c>
    </row>
  </sheetData>
  <mergeCells count="20">
    <mergeCell ref="A50:B50"/>
    <mergeCell ref="A51:B51"/>
    <mergeCell ref="A44:B44"/>
    <mergeCell ref="A45:B45"/>
    <mergeCell ref="A46:B46"/>
    <mergeCell ref="A47:B47"/>
    <mergeCell ref="A48:B48"/>
    <mergeCell ref="A49:B49"/>
    <mergeCell ref="A43:B43"/>
    <mergeCell ref="B1:L1"/>
    <mergeCell ref="A17:B17"/>
    <mergeCell ref="A18:B18"/>
    <mergeCell ref="A19:B19"/>
    <mergeCell ref="A20:B20"/>
    <mergeCell ref="A21:B21"/>
    <mergeCell ref="A22:B22"/>
    <mergeCell ref="A23:B23"/>
    <mergeCell ref="A24:B24"/>
    <mergeCell ref="A25:B25"/>
    <mergeCell ref="B27:L27"/>
  </mergeCells>
  <conditionalFormatting sqref="C3:L16">
    <cfRule type="dataBar" priority="1">
      <dataBar>
        <cfvo type="min"/>
        <cfvo type="max"/>
        <color rgb="FFFFB628"/>
      </dataBar>
      <extLst>
        <ext xmlns:x14="http://schemas.microsoft.com/office/spreadsheetml/2009/9/main" uri="{B025F937-C7B1-47D3-B67F-A62EFF666E3E}">
          <x14:id>{D0980869-057E-41D9-B5CF-524C922CBCAE}</x14:id>
        </ext>
      </extLst>
    </cfRule>
  </conditionalFormatting>
  <conditionalFormatting sqref="C29:L42">
    <cfRule type="dataBar" priority="2">
      <dataBar>
        <cfvo type="min"/>
        <cfvo type="max"/>
        <color rgb="FF638EC6"/>
      </dataBar>
      <extLst>
        <ext xmlns:x14="http://schemas.microsoft.com/office/spreadsheetml/2009/9/main" uri="{B025F937-C7B1-47D3-B67F-A62EFF666E3E}">
          <x14:id>{7E6E0697-89C3-467B-BDBC-1347BA883972}</x14:id>
        </ext>
      </extLst>
    </cfRule>
  </conditionalFormatting>
  <pageMargins left="0.7" right="0.7" top="0.75" bottom="0.75" header="0.3" footer="0.3"/>
  <pageSetup paperSize="9" orientation="portrait" r:id="rId1"/>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D0980869-057E-41D9-B5CF-524C922CBCAE}">
            <x14:dataBar minLength="0" maxLength="100" border="1" negativeBarBorderColorSameAsPositive="0">
              <x14:cfvo type="autoMin"/>
              <x14:cfvo type="autoMax"/>
              <x14:borderColor rgb="FFFFB628"/>
              <x14:negativeFillColor rgb="FFFF0000"/>
              <x14:negativeBorderColor rgb="FFFF0000"/>
              <x14:axisColor rgb="FF000000"/>
            </x14:dataBar>
          </x14:cfRule>
          <xm:sqref>C3:L16</xm:sqref>
        </x14:conditionalFormatting>
        <x14:conditionalFormatting xmlns:xm="http://schemas.microsoft.com/office/excel/2006/main">
          <x14:cfRule type="dataBar" id="{7E6E0697-89C3-467B-BDBC-1347BA883972}">
            <x14:dataBar minLength="0" maxLength="100" gradient="0">
              <x14:cfvo type="autoMin"/>
              <x14:cfvo type="autoMax"/>
              <x14:negativeFillColor rgb="FFFF0000"/>
              <x14:axisColor rgb="FF000000"/>
            </x14:dataBar>
          </x14:cfRule>
          <xm:sqref>C29:L42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70FC5-94EA-4B90-99D8-C3E0A41BB141}">
  <dimension ref="A1:L39"/>
  <sheetViews>
    <sheetView topLeftCell="A14" zoomScaleNormal="100" workbookViewId="0">
      <selection activeCell="C36" sqref="C36:C39"/>
    </sheetView>
  </sheetViews>
  <sheetFormatPr defaultColWidth="8.85546875" defaultRowHeight="15" x14ac:dyDescent="0.25"/>
  <cols>
    <col min="1" max="1" width="70.7109375" style="1" customWidth="1"/>
    <col min="2" max="2" width="10.7109375" style="3" customWidth="1"/>
    <col min="3" max="12" width="15.7109375" style="1" customWidth="1"/>
    <col min="13" max="16384" width="8.85546875" style="1"/>
  </cols>
  <sheetData>
    <row r="1" spans="1:12" ht="26.25" customHeight="1" x14ac:dyDescent="0.25">
      <c r="B1" s="108" t="s">
        <v>149</v>
      </c>
      <c r="C1" s="108"/>
      <c r="D1" s="108"/>
      <c r="E1" s="108"/>
      <c r="F1" s="108"/>
      <c r="G1" s="108"/>
      <c r="H1" s="108"/>
      <c r="I1" s="108"/>
      <c r="J1" s="108"/>
      <c r="K1" s="108"/>
      <c r="L1" s="108"/>
    </row>
    <row r="2" spans="1:12" ht="45" x14ac:dyDescent="0.25">
      <c r="B2" s="14" t="s">
        <v>0</v>
      </c>
      <c r="C2" s="2" t="s">
        <v>113</v>
      </c>
      <c r="D2" s="2" t="s">
        <v>114</v>
      </c>
      <c r="E2" s="2" t="s">
        <v>115</v>
      </c>
      <c r="F2" s="2" t="s">
        <v>116</v>
      </c>
      <c r="G2" s="2" t="s">
        <v>117</v>
      </c>
      <c r="H2" s="2" t="s">
        <v>118</v>
      </c>
      <c r="I2" s="2" t="s">
        <v>119</v>
      </c>
      <c r="J2" s="2" t="s">
        <v>120</v>
      </c>
      <c r="K2" s="2" t="s">
        <v>121</v>
      </c>
      <c r="L2" s="2" t="s">
        <v>122</v>
      </c>
    </row>
    <row r="3" spans="1:12" x14ac:dyDescent="0.25">
      <c r="B3" s="64">
        <v>1</v>
      </c>
      <c r="C3" s="78">
        <v>418438</v>
      </c>
      <c r="D3" s="78">
        <v>392160</v>
      </c>
      <c r="E3" s="78">
        <v>401428</v>
      </c>
      <c r="F3" s="78">
        <v>400845</v>
      </c>
      <c r="G3" s="78">
        <v>406283</v>
      </c>
      <c r="H3" s="78">
        <v>405468</v>
      </c>
      <c r="I3" s="78">
        <v>396614</v>
      </c>
      <c r="J3" s="78">
        <v>397652</v>
      </c>
      <c r="K3" s="78">
        <v>406366</v>
      </c>
      <c r="L3" s="78">
        <v>409951</v>
      </c>
    </row>
    <row r="4" spans="1:12" x14ac:dyDescent="0.25">
      <c r="B4" s="64">
        <v>2</v>
      </c>
      <c r="C4" s="78">
        <v>405415</v>
      </c>
      <c r="D4" s="78">
        <v>394032</v>
      </c>
      <c r="E4" s="78">
        <v>395391</v>
      </c>
      <c r="F4" s="78">
        <v>401757</v>
      </c>
      <c r="G4" s="78">
        <v>410262</v>
      </c>
      <c r="H4" s="78">
        <v>405655</v>
      </c>
      <c r="I4" s="78">
        <v>408469</v>
      </c>
      <c r="J4" s="78">
        <v>403739</v>
      </c>
      <c r="K4" s="78">
        <v>399932</v>
      </c>
      <c r="L4" s="78">
        <v>412513</v>
      </c>
    </row>
    <row r="5" spans="1:12" x14ac:dyDescent="0.25">
      <c r="B5" s="64">
        <v>3</v>
      </c>
      <c r="C5" s="78">
        <v>417637</v>
      </c>
      <c r="D5" s="78">
        <v>412233</v>
      </c>
      <c r="E5" s="78">
        <v>401319</v>
      </c>
      <c r="F5" s="78">
        <v>409522</v>
      </c>
      <c r="G5" s="78">
        <v>415363</v>
      </c>
      <c r="H5" s="78">
        <v>417802</v>
      </c>
      <c r="I5" s="78">
        <v>410717</v>
      </c>
      <c r="J5" s="78">
        <v>410654</v>
      </c>
      <c r="K5" s="78">
        <v>417063</v>
      </c>
      <c r="L5" s="78">
        <v>416652</v>
      </c>
    </row>
    <row r="6" spans="1:12" x14ac:dyDescent="0.25">
      <c r="B6" s="64">
        <v>4</v>
      </c>
      <c r="C6" s="78">
        <v>419346</v>
      </c>
      <c r="D6" s="78">
        <v>412337</v>
      </c>
      <c r="E6" s="78">
        <v>408321</v>
      </c>
      <c r="F6" s="78">
        <v>410072</v>
      </c>
      <c r="G6" s="78">
        <v>409759</v>
      </c>
      <c r="H6" s="78">
        <v>408327</v>
      </c>
      <c r="I6" s="78">
        <v>412783</v>
      </c>
      <c r="J6" s="78">
        <v>409911</v>
      </c>
      <c r="K6" s="78">
        <v>410152</v>
      </c>
      <c r="L6" s="78">
        <v>413724</v>
      </c>
    </row>
    <row r="7" spans="1:12" x14ac:dyDescent="0.25">
      <c r="B7" s="64">
        <v>5</v>
      </c>
      <c r="C7" s="78">
        <v>415263</v>
      </c>
      <c r="D7" s="78">
        <v>406864</v>
      </c>
      <c r="E7" s="78">
        <v>409306</v>
      </c>
      <c r="F7" s="78">
        <v>398965</v>
      </c>
      <c r="G7" s="78">
        <v>403591</v>
      </c>
      <c r="H7" s="78">
        <v>405678</v>
      </c>
      <c r="I7" s="78">
        <v>399761</v>
      </c>
      <c r="J7" s="78">
        <v>398767</v>
      </c>
      <c r="K7" s="78">
        <v>398890</v>
      </c>
      <c r="L7" s="78">
        <v>407705</v>
      </c>
    </row>
    <row r="8" spans="1:12" x14ac:dyDescent="0.25">
      <c r="B8" s="64">
        <v>6</v>
      </c>
      <c r="C8" s="78">
        <v>406945</v>
      </c>
      <c r="D8" s="78">
        <v>399523</v>
      </c>
      <c r="E8" s="78">
        <v>395583</v>
      </c>
      <c r="F8" s="78">
        <v>395055</v>
      </c>
      <c r="G8" s="78">
        <v>400089</v>
      </c>
      <c r="H8" s="78">
        <v>404985</v>
      </c>
      <c r="I8" s="78">
        <v>404438</v>
      </c>
      <c r="J8" s="78">
        <v>395577</v>
      </c>
      <c r="K8" s="78">
        <v>402661</v>
      </c>
      <c r="L8" s="78">
        <v>415476</v>
      </c>
    </row>
    <row r="9" spans="1:12" x14ac:dyDescent="0.25">
      <c r="B9" s="64">
        <v>7</v>
      </c>
      <c r="C9" s="78">
        <v>420723</v>
      </c>
      <c r="D9" s="78">
        <v>410120</v>
      </c>
      <c r="E9" s="78">
        <v>395146</v>
      </c>
      <c r="F9" s="78">
        <v>411794</v>
      </c>
      <c r="G9" s="78">
        <v>417531</v>
      </c>
      <c r="H9" s="78">
        <v>417444</v>
      </c>
      <c r="I9" s="78">
        <v>404687</v>
      </c>
      <c r="J9" s="78">
        <v>397281</v>
      </c>
      <c r="K9" s="78">
        <v>413493</v>
      </c>
      <c r="L9" s="78">
        <v>418800</v>
      </c>
    </row>
    <row r="10" spans="1:12" x14ac:dyDescent="0.25">
      <c r="B10" s="64">
        <v>8</v>
      </c>
      <c r="C10" s="78">
        <v>413321</v>
      </c>
      <c r="D10" s="78">
        <v>396338</v>
      </c>
      <c r="E10" s="78">
        <v>408478</v>
      </c>
      <c r="F10" s="78">
        <v>406480</v>
      </c>
      <c r="G10" s="78">
        <v>413381</v>
      </c>
      <c r="H10" s="78">
        <v>415168</v>
      </c>
      <c r="I10" s="78">
        <v>406441</v>
      </c>
      <c r="J10" s="78">
        <v>407431</v>
      </c>
      <c r="K10" s="78">
        <v>410737</v>
      </c>
      <c r="L10" s="78">
        <v>418367</v>
      </c>
    </row>
    <row r="11" spans="1:12" ht="24" customHeight="1" x14ac:dyDescent="0.4">
      <c r="A11" s="103" t="s">
        <v>123</v>
      </c>
      <c r="B11" s="103"/>
      <c r="C11" s="79">
        <f>AVERAGE(Table1456789102341112283032[No. Of Iterations Block Of Text - Run 1])</f>
        <v>414636</v>
      </c>
      <c r="D11" s="7">
        <f>AVERAGE(Table1456789102341112283032[No. Of Iterations Block Of Text - Run 2])</f>
        <v>402950.875</v>
      </c>
      <c r="E11" s="7">
        <f>AVERAGE(Table1456789102341112283032[No. Of Iterations Block Of Text - Run 3])</f>
        <v>401871.5</v>
      </c>
      <c r="F11" s="7">
        <f>AVERAGE(Table1456789102341112283032[No. Of Iterations Block Of Text - Run 4])</f>
        <v>404311.25</v>
      </c>
      <c r="G11" s="7">
        <f>AVERAGE(Table1456789102341112283032[No. Of Iterations Block Of Text - Run 5])</f>
        <v>409532.375</v>
      </c>
      <c r="H11" s="7">
        <f>AVERAGE(Table1456789102341112283032[No. Of Iterations Block Of Text - Run 6])</f>
        <v>410065.875</v>
      </c>
      <c r="I11" s="7">
        <f>AVERAGE(Table1456789102341112283032[No. Of Iterations Block Of Text - Run 7])</f>
        <v>405488.75</v>
      </c>
      <c r="J11" s="7">
        <f>AVERAGE(Table1456789102341112283032[No. Of Iterations Block Of Text - Run 8])</f>
        <v>402626.5</v>
      </c>
      <c r="K11" s="7">
        <f>AVERAGE(Table1456789102341112283032[No. Of Iterations Block Of Text - Run 9])</f>
        <v>407411.75</v>
      </c>
      <c r="L11" s="7">
        <f>AVERAGE(Table1456789102341112283032[No. Of Iterations Block Of Text - Run 10])</f>
        <v>414148.5</v>
      </c>
    </row>
    <row r="12" spans="1:12" ht="24" x14ac:dyDescent="0.4">
      <c r="A12" s="103" t="s">
        <v>124</v>
      </c>
      <c r="B12" s="103"/>
      <c r="C12" s="79">
        <f>MIN(Table1456789102341112283032[No. Of Iterations Block Of Text - Run 1])</f>
        <v>405415</v>
      </c>
      <c r="D12" s="7">
        <f>MIN(Table1456789102341112283032[No. Of Iterations Block Of Text - Run 2])</f>
        <v>392160</v>
      </c>
      <c r="E12" s="7">
        <f>MIN(Table1456789102341112283032[No. Of Iterations Block Of Text - Run 3])</f>
        <v>395146</v>
      </c>
      <c r="F12" s="7">
        <f>MIN(Table1456789102341112283032[No. Of Iterations Block Of Text - Run 4])</f>
        <v>395055</v>
      </c>
      <c r="G12" s="7">
        <f>MIN(Table1456789102341112283032[No. Of Iterations Block Of Text - Run 5])</f>
        <v>400089</v>
      </c>
      <c r="H12" s="7">
        <f>MIN(Table1456789102341112283032[No. Of Iterations Block Of Text - Run 6])</f>
        <v>404985</v>
      </c>
      <c r="I12" s="7">
        <f>MIN(Table1456789102341112283032[No. Of Iterations Block Of Text - Run 7])</f>
        <v>396614</v>
      </c>
      <c r="J12" s="7">
        <f>MIN(Table1456789102341112283032[No. Of Iterations Block Of Text - Run 8])</f>
        <v>395577</v>
      </c>
      <c r="K12" s="7">
        <f>MIN(Table1456789102341112283032[No. Of Iterations Block Of Text - Run 9])</f>
        <v>398890</v>
      </c>
      <c r="L12" s="7">
        <f>MIN(Table1456789102341112283032[No. Of Iterations Block Of Text - Run 10])</f>
        <v>407705</v>
      </c>
    </row>
    <row r="13" spans="1:12" ht="24" x14ac:dyDescent="0.4">
      <c r="A13" s="103" t="s">
        <v>125</v>
      </c>
      <c r="B13" s="133"/>
      <c r="C13" s="79">
        <f>MAX(Table1456789102341112283032[No. Of Iterations Block Of Text - Run 1])</f>
        <v>420723</v>
      </c>
      <c r="D13" s="7">
        <f>MAX(Table1456789102341112283032[No. Of Iterations Block Of Text - Run 2])</f>
        <v>412337</v>
      </c>
      <c r="E13" s="7">
        <f>MAX(Table1456789102341112283032[No. Of Iterations Block Of Text - Run 3])</f>
        <v>409306</v>
      </c>
      <c r="F13" s="7">
        <f>MAX(Table1456789102341112283032[No. Of Iterations Block Of Text - Run 4])</f>
        <v>411794</v>
      </c>
      <c r="G13" s="7">
        <f>MAX(Table1456789102341112283032[No. Of Iterations Block Of Text - Run 5])</f>
        <v>417531</v>
      </c>
      <c r="H13" s="7">
        <f>MAX(Table1456789102341112283032[No. Of Iterations Block Of Text - Run 6])</f>
        <v>417802</v>
      </c>
      <c r="I13" s="7">
        <f>MAX(Table1456789102341112283032[No. Of Iterations Block Of Text - Run 7])</f>
        <v>412783</v>
      </c>
      <c r="J13" s="7">
        <f>MAX(Table1456789102341112283032[No. Of Iterations Block Of Text - Run 8])</f>
        <v>410654</v>
      </c>
      <c r="K13" s="7">
        <f>MAX(Table1456789102341112283032[No. Of Iterations Block Of Text - Run 9])</f>
        <v>417063</v>
      </c>
      <c r="L13" s="7">
        <f>MAX(Table1456789102341112283032[No. Of Iterations Block Of Text - Run 10])</f>
        <v>418800</v>
      </c>
    </row>
    <row r="14" spans="1:12" ht="24" x14ac:dyDescent="0.4">
      <c r="A14" s="103" t="s">
        <v>126</v>
      </c>
      <c r="B14" s="133"/>
      <c r="C14" s="79">
        <f>C13-C12</f>
        <v>15308</v>
      </c>
      <c r="D14" s="7">
        <f t="shared" ref="D14:L14" si="0">D13-D12</f>
        <v>20177</v>
      </c>
      <c r="E14" s="7">
        <f>E13-E12</f>
        <v>14160</v>
      </c>
      <c r="F14" s="7">
        <f>F13-F12</f>
        <v>16739</v>
      </c>
      <c r="G14" s="7">
        <f t="shared" si="0"/>
        <v>17442</v>
      </c>
      <c r="H14" s="7">
        <f t="shared" si="0"/>
        <v>12817</v>
      </c>
      <c r="I14" s="7">
        <f t="shared" si="0"/>
        <v>16169</v>
      </c>
      <c r="J14" s="7">
        <f t="shared" si="0"/>
        <v>15077</v>
      </c>
      <c r="K14" s="7">
        <f t="shared" si="0"/>
        <v>18173</v>
      </c>
      <c r="L14" s="7">
        <f t="shared" si="0"/>
        <v>11095</v>
      </c>
    </row>
    <row r="15" spans="1:12" ht="24" x14ac:dyDescent="0.4">
      <c r="A15" s="103" t="s">
        <v>127</v>
      </c>
      <c r="B15" s="133"/>
      <c r="C15" s="83">
        <f>C14/C12</f>
        <v>3.7758839707460259E-2</v>
      </c>
      <c r="D15" s="84">
        <f t="shared" ref="D15:L15" si="1">D14/D12</f>
        <v>5.1450938392492859E-2</v>
      </c>
      <c r="E15" s="84">
        <f t="shared" si="1"/>
        <v>3.5834855977284343E-2</v>
      </c>
      <c r="F15" s="84">
        <f t="shared" si="1"/>
        <v>4.2371315386465179E-2</v>
      </c>
      <c r="G15" s="84">
        <f t="shared" si="1"/>
        <v>4.3595300045739825E-2</v>
      </c>
      <c r="H15" s="84">
        <f t="shared" si="1"/>
        <v>3.1648085731570304E-2</v>
      </c>
      <c r="I15" s="84">
        <f t="shared" si="1"/>
        <v>4.0767597714654553E-2</v>
      </c>
      <c r="J15" s="84">
        <f t="shared" si="1"/>
        <v>3.8113944946243081E-2</v>
      </c>
      <c r="K15" s="84">
        <f t="shared" si="1"/>
        <v>4.5558926019704682E-2</v>
      </c>
      <c r="L15" s="84">
        <f t="shared" si="1"/>
        <v>2.7213303736770458E-2</v>
      </c>
    </row>
    <row r="16" spans="1:12" ht="31.5" x14ac:dyDescent="0.5">
      <c r="A16" s="103" t="s">
        <v>128</v>
      </c>
      <c r="B16" s="133"/>
      <c r="C16" s="85">
        <f>MIN(C15:L15)</f>
        <v>2.7213303736770458E-2</v>
      </c>
      <c r="D16" s="7"/>
      <c r="E16" s="7"/>
      <c r="F16" s="7"/>
      <c r="G16" s="7"/>
      <c r="H16" s="7"/>
      <c r="I16" s="7"/>
      <c r="J16" s="7"/>
      <c r="K16" s="7"/>
      <c r="L16" s="7"/>
    </row>
    <row r="17" spans="1:12" ht="31.5" x14ac:dyDescent="0.5">
      <c r="A17" s="103" t="s">
        <v>129</v>
      </c>
      <c r="B17" s="133"/>
      <c r="C17" s="85">
        <f>MAX(C15:L15)</f>
        <v>5.1450938392492859E-2</v>
      </c>
      <c r="D17" s="7"/>
      <c r="E17" s="7"/>
      <c r="F17" s="7"/>
      <c r="G17" s="7"/>
      <c r="H17" s="7"/>
      <c r="I17" s="7"/>
      <c r="J17" s="7"/>
      <c r="K17" s="7"/>
      <c r="L17" s="7"/>
    </row>
    <row r="18" spans="1:12" ht="24" x14ac:dyDescent="0.4">
      <c r="A18" s="103" t="s">
        <v>130</v>
      </c>
      <c r="B18" s="133"/>
      <c r="C18" s="84">
        <f>AVERAGE(C15:L15)</f>
        <v>3.9431310765838556E-2</v>
      </c>
      <c r="D18" s="7"/>
      <c r="E18" s="7"/>
      <c r="F18" s="7"/>
      <c r="G18" s="7"/>
      <c r="H18" s="7"/>
      <c r="I18" s="7"/>
      <c r="J18" s="7"/>
      <c r="K18" s="7"/>
      <c r="L18" s="7"/>
    </row>
    <row r="19" spans="1:12" ht="24" x14ac:dyDescent="0.4">
      <c r="A19" s="103" t="s">
        <v>138</v>
      </c>
      <c r="B19" s="133"/>
      <c r="C19" s="59">
        <f>AVERAGE(C11:L11)</f>
        <v>407304.33750000002</v>
      </c>
    </row>
    <row r="20" spans="1:12" x14ac:dyDescent="0.25">
      <c r="A20" s="9"/>
      <c r="B20" s="9"/>
    </row>
    <row r="21" spans="1:12" ht="26.25" x14ac:dyDescent="0.25">
      <c r="B21" s="108" t="s">
        <v>150</v>
      </c>
      <c r="C21" s="108"/>
      <c r="D21" s="108"/>
      <c r="E21" s="108"/>
      <c r="F21" s="108"/>
      <c r="G21" s="108"/>
      <c r="H21" s="108"/>
      <c r="I21" s="108"/>
      <c r="J21" s="108"/>
      <c r="K21" s="108"/>
      <c r="L21" s="108"/>
    </row>
    <row r="22" spans="1:12" ht="45" x14ac:dyDescent="0.25">
      <c r="B22" s="14" t="s">
        <v>0</v>
      </c>
      <c r="C22" s="2" t="s">
        <v>113</v>
      </c>
      <c r="D22" s="2" t="s">
        <v>114</v>
      </c>
      <c r="E22" s="2" t="s">
        <v>115</v>
      </c>
      <c r="F22" s="2" t="s">
        <v>116</v>
      </c>
      <c r="G22" s="2" t="s">
        <v>117</v>
      </c>
      <c r="H22" s="2" t="s">
        <v>118</v>
      </c>
      <c r="I22" s="2" t="s">
        <v>119</v>
      </c>
      <c r="J22" s="2" t="s">
        <v>120</v>
      </c>
      <c r="K22" s="2" t="s">
        <v>121</v>
      </c>
      <c r="L22" s="2" t="s">
        <v>122</v>
      </c>
    </row>
    <row r="23" spans="1:12" x14ac:dyDescent="0.25">
      <c r="B23" s="64">
        <v>1</v>
      </c>
      <c r="C23" s="78">
        <v>433431</v>
      </c>
      <c r="D23" s="78">
        <v>438428</v>
      </c>
      <c r="E23" s="78">
        <v>440993</v>
      </c>
      <c r="F23" s="78">
        <v>438619</v>
      </c>
      <c r="G23" s="78">
        <v>432877</v>
      </c>
      <c r="H23" s="78">
        <v>422849</v>
      </c>
      <c r="I23" s="78">
        <v>430674</v>
      </c>
      <c r="J23" s="78">
        <v>446696</v>
      </c>
      <c r="K23" s="78">
        <v>436859</v>
      </c>
      <c r="L23" s="78">
        <v>438528</v>
      </c>
    </row>
    <row r="24" spans="1:12" x14ac:dyDescent="0.25">
      <c r="B24" s="64">
        <v>2</v>
      </c>
      <c r="C24" s="78">
        <v>429825</v>
      </c>
      <c r="D24" s="78">
        <v>438962</v>
      </c>
      <c r="E24" s="78">
        <v>430703</v>
      </c>
      <c r="F24" s="78">
        <v>430644</v>
      </c>
      <c r="G24" s="78">
        <v>439089</v>
      </c>
      <c r="H24" s="78">
        <v>434912</v>
      </c>
      <c r="I24" s="78">
        <v>428366</v>
      </c>
      <c r="J24" s="78">
        <v>433347</v>
      </c>
      <c r="K24" s="78">
        <v>429488</v>
      </c>
      <c r="L24" s="78">
        <v>429632</v>
      </c>
    </row>
    <row r="25" spans="1:12" x14ac:dyDescent="0.25">
      <c r="B25" s="64">
        <v>3</v>
      </c>
      <c r="C25" s="78">
        <v>444652</v>
      </c>
      <c r="D25" s="78">
        <v>448742</v>
      </c>
      <c r="E25" s="78">
        <v>445910</v>
      </c>
      <c r="F25" s="78">
        <v>445500</v>
      </c>
      <c r="G25" s="78">
        <v>443970</v>
      </c>
      <c r="H25" s="78">
        <v>441397</v>
      </c>
      <c r="I25" s="78">
        <v>436091</v>
      </c>
      <c r="J25" s="78">
        <v>448641</v>
      </c>
      <c r="K25" s="78">
        <v>441683</v>
      </c>
      <c r="L25" s="78">
        <v>446985</v>
      </c>
    </row>
    <row r="26" spans="1:12" x14ac:dyDescent="0.25">
      <c r="B26" s="64">
        <v>4</v>
      </c>
      <c r="C26" s="78">
        <v>437691</v>
      </c>
      <c r="D26" s="78">
        <v>435000</v>
      </c>
      <c r="E26" s="78">
        <v>437704</v>
      </c>
      <c r="F26" s="78">
        <v>436327</v>
      </c>
      <c r="G26" s="78">
        <v>450123</v>
      </c>
      <c r="H26" s="78">
        <v>443213</v>
      </c>
      <c r="I26" s="78">
        <v>434350</v>
      </c>
      <c r="J26" s="78">
        <v>447275</v>
      </c>
      <c r="K26" s="78">
        <v>442203</v>
      </c>
      <c r="L26" s="78">
        <v>443215</v>
      </c>
    </row>
    <row r="27" spans="1:12" x14ac:dyDescent="0.25">
      <c r="B27" s="64">
        <v>5</v>
      </c>
      <c r="C27" s="78">
        <v>421810</v>
      </c>
      <c r="D27" s="78">
        <v>424450</v>
      </c>
      <c r="E27" s="78">
        <v>434459</v>
      </c>
      <c r="F27" s="78">
        <v>432183</v>
      </c>
      <c r="G27" s="78">
        <v>433414</v>
      </c>
      <c r="H27" s="78">
        <v>424585</v>
      </c>
      <c r="I27" s="78">
        <v>423890</v>
      </c>
      <c r="J27" s="78">
        <v>433930</v>
      </c>
      <c r="K27" s="78">
        <v>430752</v>
      </c>
      <c r="L27" s="78">
        <v>431723</v>
      </c>
    </row>
    <row r="28" spans="1:12" x14ac:dyDescent="0.25">
      <c r="B28" s="64">
        <v>6</v>
      </c>
      <c r="C28" s="78">
        <v>424387</v>
      </c>
      <c r="D28" s="78">
        <v>432642</v>
      </c>
      <c r="E28" s="78">
        <v>434316</v>
      </c>
      <c r="F28" s="78">
        <v>430137</v>
      </c>
      <c r="G28" s="78">
        <v>433364</v>
      </c>
      <c r="H28" s="78">
        <v>425723</v>
      </c>
      <c r="I28" s="78">
        <v>429292</v>
      </c>
      <c r="J28" s="78">
        <v>433670</v>
      </c>
      <c r="K28" s="78">
        <v>424450</v>
      </c>
      <c r="L28" s="78">
        <v>431224</v>
      </c>
    </row>
    <row r="29" spans="1:12" x14ac:dyDescent="0.25">
      <c r="B29" s="64">
        <v>7</v>
      </c>
      <c r="C29" s="78">
        <v>440510</v>
      </c>
      <c r="D29" s="78">
        <v>439810</v>
      </c>
      <c r="E29" s="78">
        <v>449654</v>
      </c>
      <c r="F29" s="78">
        <v>443447</v>
      </c>
      <c r="G29" s="78">
        <v>450634</v>
      </c>
      <c r="H29" s="78">
        <v>432642</v>
      </c>
      <c r="I29" s="78">
        <v>436131</v>
      </c>
      <c r="J29" s="78">
        <v>448829</v>
      </c>
      <c r="K29" s="78">
        <v>430418</v>
      </c>
      <c r="L29" s="78">
        <v>439597</v>
      </c>
    </row>
    <row r="30" spans="1:12" x14ac:dyDescent="0.25">
      <c r="B30" s="64">
        <v>8</v>
      </c>
      <c r="C30" s="78">
        <v>439567</v>
      </c>
      <c r="D30" s="78">
        <v>447054</v>
      </c>
      <c r="E30" s="78">
        <v>439393</v>
      </c>
      <c r="F30" s="78">
        <v>443185</v>
      </c>
      <c r="G30" s="78">
        <v>442350</v>
      </c>
      <c r="H30" s="78">
        <v>442205</v>
      </c>
      <c r="I30" s="78">
        <v>430674</v>
      </c>
      <c r="J30" s="78">
        <v>435449</v>
      </c>
      <c r="K30" s="78">
        <v>440623</v>
      </c>
      <c r="L30" s="78">
        <v>442485</v>
      </c>
    </row>
    <row r="31" spans="1:12" ht="24" x14ac:dyDescent="0.4">
      <c r="A31" s="103" t="s">
        <v>123</v>
      </c>
      <c r="B31" s="103"/>
      <c r="C31" s="79">
        <f>AVERAGE(Table145678910234111213293133[No. Of Iterations Block Of Text - Run 1])</f>
        <v>433984.125</v>
      </c>
      <c r="D31" s="7">
        <f>AVERAGE(Table145678910234111213293133[No. Of Iterations Block Of Text - Run 2])</f>
        <v>438136</v>
      </c>
      <c r="E31" s="7">
        <f>AVERAGE(Table145678910234111213293133[No. Of Iterations Block Of Text - Run 3])</f>
        <v>439141.5</v>
      </c>
      <c r="F31" s="7">
        <f>AVERAGE(Table145678910234111213293133[No. Of Iterations Block Of Text - Run 4])</f>
        <v>437505.25</v>
      </c>
      <c r="G31" s="7">
        <f>AVERAGE(Table145678910234111213293133[No. Of Iterations Block Of Text - Run 5])</f>
        <v>440727.625</v>
      </c>
      <c r="H31" s="7">
        <f>AVERAGE(Table145678910234111213293133[No. Of Iterations Block Of Text - Run 6])</f>
        <v>433440.75</v>
      </c>
      <c r="I31" s="7">
        <f>AVERAGE(Table145678910234111213293133[No. Of Iterations Block Of Text - Run 7])</f>
        <v>431183.5</v>
      </c>
      <c r="J31" s="7">
        <f>AVERAGE(Table145678910234111213293133[No. Of Iterations Block Of Text - Run 8])</f>
        <v>440979.625</v>
      </c>
      <c r="K31" s="7">
        <f>AVERAGE(Table145678910234111213293133[No. Of Iterations Block Of Text - Run 9])</f>
        <v>434559.5</v>
      </c>
      <c r="L31" s="7">
        <f>AVERAGE(Table145678910234111213293133[No. Of Iterations Block Of Text - Run 10])</f>
        <v>437923.625</v>
      </c>
    </row>
    <row r="32" spans="1:12" ht="24" x14ac:dyDescent="0.4">
      <c r="A32" s="103" t="s">
        <v>124</v>
      </c>
      <c r="B32" s="103"/>
      <c r="C32" s="79">
        <f>MIN(Table145678910234111213293133[No. Of Iterations Block Of Text - Run 1])</f>
        <v>421810</v>
      </c>
      <c r="D32" s="7">
        <f>MIN(Table145678910234111213293133[No. Of Iterations Block Of Text - Run 2])</f>
        <v>424450</v>
      </c>
      <c r="E32" s="7">
        <f>MIN(Table145678910234111213293133[No. Of Iterations Block Of Text - Run 3])</f>
        <v>430703</v>
      </c>
      <c r="F32" s="7">
        <f>MIN(Table145678910234111213293133[No. Of Iterations Block Of Text - Run 4])</f>
        <v>430137</v>
      </c>
      <c r="G32" s="7">
        <f>MIN(Table145678910234111213293133[No. Of Iterations Block Of Text - Run 5])</f>
        <v>432877</v>
      </c>
      <c r="H32" s="7">
        <f>MIN(Table145678910234111213293133[No. Of Iterations Block Of Text - Run 6])</f>
        <v>422849</v>
      </c>
      <c r="I32" s="7">
        <f>MIN(Table145678910234111213293133[No. Of Iterations Block Of Text - Run 7])</f>
        <v>423890</v>
      </c>
      <c r="J32" s="7">
        <f>MIN(Table145678910234111213293133[No. Of Iterations Block Of Text - Run 8])</f>
        <v>433347</v>
      </c>
      <c r="K32" s="7">
        <f>MIN(Table145678910234111213293133[No. Of Iterations Block Of Text - Run 9])</f>
        <v>424450</v>
      </c>
      <c r="L32" s="7">
        <f>MIN(Table145678910234111213293133[No. Of Iterations Block Of Text - Run 10])</f>
        <v>429632</v>
      </c>
    </row>
    <row r="33" spans="1:12" ht="24" x14ac:dyDescent="0.4">
      <c r="A33" s="103" t="s">
        <v>125</v>
      </c>
      <c r="B33" s="133"/>
      <c r="C33" s="79">
        <f>MAX(Table145678910234111213293133[No. Of Iterations Block Of Text - Run 1])</f>
        <v>444652</v>
      </c>
      <c r="D33" s="7">
        <f>MAX(Table145678910234111213293133[No. Of Iterations Block Of Text - Run 2])</f>
        <v>448742</v>
      </c>
      <c r="E33" s="7">
        <f>MAX(Table145678910234111213293133[No. Of Iterations Block Of Text - Run 3])</f>
        <v>449654</v>
      </c>
      <c r="F33" s="7">
        <f>MAX(Table145678910234111213293133[No. Of Iterations Block Of Text - Run 4])</f>
        <v>445500</v>
      </c>
      <c r="G33" s="7">
        <f>MAX(Table145678910234111213293133[No. Of Iterations Block Of Text - Run 5])</f>
        <v>450634</v>
      </c>
      <c r="H33" s="7">
        <f>MAX(Table145678910234111213293133[No. Of Iterations Block Of Text - Run 6])</f>
        <v>443213</v>
      </c>
      <c r="I33" s="7">
        <f>MAX(Table145678910234111213293133[No. Of Iterations Block Of Text - Run 7])</f>
        <v>436131</v>
      </c>
      <c r="J33" s="7">
        <f>MAX(Table145678910234111213293133[No. Of Iterations Block Of Text - Run 8])</f>
        <v>448829</v>
      </c>
      <c r="K33" s="7">
        <f>MAX(Table145678910234111213293133[No. Of Iterations Block Of Text - Run 9])</f>
        <v>442203</v>
      </c>
      <c r="L33" s="7">
        <f>MAX(Table145678910234111213293133[No. Of Iterations Block Of Text - Run 10])</f>
        <v>446985</v>
      </c>
    </row>
    <row r="34" spans="1:12" ht="24" x14ac:dyDescent="0.4">
      <c r="A34" s="103" t="s">
        <v>126</v>
      </c>
      <c r="B34" s="133"/>
      <c r="C34" s="79">
        <f>C33-C32</f>
        <v>22842</v>
      </c>
      <c r="D34" s="7">
        <f t="shared" ref="D34" si="2">D33-D32</f>
        <v>24292</v>
      </c>
      <c r="E34" s="7">
        <f>E33-E32</f>
        <v>18951</v>
      </c>
      <c r="F34" s="7">
        <f>F33-F32</f>
        <v>15363</v>
      </c>
      <c r="G34" s="7">
        <f t="shared" ref="G34:L34" si="3">G33-G32</f>
        <v>17757</v>
      </c>
      <c r="H34" s="7">
        <f t="shared" si="3"/>
        <v>20364</v>
      </c>
      <c r="I34" s="7">
        <f t="shared" si="3"/>
        <v>12241</v>
      </c>
      <c r="J34" s="7">
        <f t="shared" si="3"/>
        <v>15482</v>
      </c>
      <c r="K34" s="7">
        <f t="shared" si="3"/>
        <v>17753</v>
      </c>
      <c r="L34" s="7">
        <f t="shared" si="3"/>
        <v>17353</v>
      </c>
    </row>
    <row r="35" spans="1:12" ht="24" x14ac:dyDescent="0.4">
      <c r="A35" s="103" t="s">
        <v>127</v>
      </c>
      <c r="B35" s="133"/>
      <c r="C35" s="83">
        <f>C34/C32</f>
        <v>5.4152343472179419E-2</v>
      </c>
      <c r="D35" s="84">
        <f t="shared" ref="D35:L35" si="4">D34/D32</f>
        <v>5.723171162681117E-2</v>
      </c>
      <c r="E35" s="84">
        <f t="shared" si="4"/>
        <v>4.4000157881417125E-2</v>
      </c>
      <c r="F35" s="84">
        <f t="shared" si="4"/>
        <v>3.5716527524951351E-2</v>
      </c>
      <c r="G35" s="84">
        <f t="shared" si="4"/>
        <v>4.1020890460800645E-2</v>
      </c>
      <c r="H35" s="84">
        <f t="shared" si="4"/>
        <v>4.8159035494940272E-2</v>
      </c>
      <c r="I35" s="84">
        <f t="shared" si="4"/>
        <v>2.887777489443016E-2</v>
      </c>
      <c r="J35" s="84">
        <f t="shared" si="4"/>
        <v>3.5726565546778909E-2</v>
      </c>
      <c r="K35" s="84">
        <f t="shared" si="4"/>
        <v>4.182589233125221E-2</v>
      </c>
      <c r="L35" s="84">
        <f t="shared" si="4"/>
        <v>4.0390380604796661E-2</v>
      </c>
    </row>
    <row r="36" spans="1:12" ht="31.5" x14ac:dyDescent="0.5">
      <c r="A36" s="103" t="s">
        <v>128</v>
      </c>
      <c r="B36" s="133"/>
      <c r="C36" s="85">
        <f>MIN(C35:L35)</f>
        <v>2.887777489443016E-2</v>
      </c>
      <c r="D36" s="7"/>
      <c r="E36" s="7"/>
      <c r="F36" s="7"/>
      <c r="G36" s="7"/>
      <c r="H36" s="7"/>
      <c r="I36" s="7"/>
      <c r="J36" s="7"/>
      <c r="K36" s="7"/>
      <c r="L36" s="7"/>
    </row>
    <row r="37" spans="1:12" ht="31.5" x14ac:dyDescent="0.5">
      <c r="A37" s="103" t="s">
        <v>129</v>
      </c>
      <c r="B37" s="133"/>
      <c r="C37" s="85">
        <f>MAX(C35:L35)</f>
        <v>5.723171162681117E-2</v>
      </c>
      <c r="D37" s="7"/>
      <c r="E37" s="7"/>
      <c r="F37" s="7"/>
      <c r="G37" s="7"/>
      <c r="H37" s="7"/>
      <c r="I37" s="7"/>
      <c r="J37" s="7"/>
      <c r="K37" s="7"/>
      <c r="L37" s="7"/>
    </row>
    <row r="38" spans="1:12" ht="24" x14ac:dyDescent="0.4">
      <c r="A38" s="103" t="s">
        <v>130</v>
      </c>
      <c r="B38" s="133"/>
      <c r="C38" s="84">
        <f>AVERAGE(C35:L35)</f>
        <v>4.2710127983835791E-2</v>
      </c>
    </row>
    <row r="39" spans="1:12" ht="24" x14ac:dyDescent="0.4">
      <c r="A39" s="103" t="s">
        <v>138</v>
      </c>
      <c r="B39" s="133"/>
      <c r="C39" s="59">
        <f>AVERAGE(C31:L31)</f>
        <v>436758.15</v>
      </c>
    </row>
  </sheetData>
  <mergeCells count="20">
    <mergeCell ref="A38:B38"/>
    <mergeCell ref="A39:B39"/>
    <mergeCell ref="A32:B32"/>
    <mergeCell ref="A33:B33"/>
    <mergeCell ref="A34:B34"/>
    <mergeCell ref="A35:B35"/>
    <mergeCell ref="A36:B36"/>
    <mergeCell ref="A37:B37"/>
    <mergeCell ref="A31:B31"/>
    <mergeCell ref="B1:L1"/>
    <mergeCell ref="A11:B11"/>
    <mergeCell ref="A12:B12"/>
    <mergeCell ref="A13:B13"/>
    <mergeCell ref="A14:B14"/>
    <mergeCell ref="A15:B15"/>
    <mergeCell ref="A16:B16"/>
    <mergeCell ref="A17:B17"/>
    <mergeCell ref="A18:B18"/>
    <mergeCell ref="A19:B19"/>
    <mergeCell ref="B21:L21"/>
  </mergeCells>
  <conditionalFormatting sqref="C3:L10">
    <cfRule type="dataBar" priority="9">
      <dataBar>
        <cfvo type="min"/>
        <cfvo type="max"/>
        <color rgb="FFFFB628"/>
      </dataBar>
      <extLst>
        <ext xmlns:x14="http://schemas.microsoft.com/office/spreadsheetml/2009/9/main" uri="{B025F937-C7B1-47D3-B67F-A62EFF666E3E}">
          <x14:id>{43AAFDDA-7A80-455C-ABCC-C3B2646B8429}</x14:id>
        </ext>
      </extLst>
    </cfRule>
  </conditionalFormatting>
  <conditionalFormatting sqref="C23:L30">
    <cfRule type="dataBar" priority="10">
      <dataBar>
        <cfvo type="min"/>
        <cfvo type="max"/>
        <color rgb="FF638EC6"/>
      </dataBar>
      <extLst>
        <ext xmlns:x14="http://schemas.microsoft.com/office/spreadsheetml/2009/9/main" uri="{B025F937-C7B1-47D3-B67F-A62EFF666E3E}">
          <x14:id>{32B8CA50-929B-41B0-AB50-E5B113DAF208}</x14:id>
        </ext>
      </extLst>
    </cfRule>
  </conditionalFormatting>
  <pageMargins left="0.7" right="0.7" top="0.75" bottom="0.75" header="0.3" footer="0.3"/>
  <pageSetup paperSize="9" orientation="portrait" r:id="rId1"/>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43AAFDDA-7A80-455C-ABCC-C3B2646B8429}">
            <x14:dataBar minLength="0" maxLength="100" border="1" negativeBarBorderColorSameAsPositive="0">
              <x14:cfvo type="autoMin"/>
              <x14:cfvo type="autoMax"/>
              <x14:borderColor rgb="FFFFB628"/>
              <x14:negativeFillColor rgb="FFFF0000"/>
              <x14:negativeBorderColor rgb="FFFF0000"/>
              <x14:axisColor rgb="FF000000"/>
            </x14:dataBar>
          </x14:cfRule>
          <xm:sqref>C3:L10</xm:sqref>
        </x14:conditionalFormatting>
        <x14:conditionalFormatting xmlns:xm="http://schemas.microsoft.com/office/excel/2006/main">
          <x14:cfRule type="dataBar" id="{32B8CA50-929B-41B0-AB50-E5B113DAF208}">
            <x14:dataBar minLength="0" maxLength="100" gradient="0">
              <x14:cfvo type="autoMin"/>
              <x14:cfvo type="autoMax"/>
              <x14:negativeFillColor rgb="FFFF0000"/>
              <x14:axisColor rgb="FF000000"/>
            </x14:dataBar>
          </x14:cfRule>
          <xm:sqref>C23:L30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6BCD0-60EA-48AA-9672-9E3AF96D0B31}">
  <dimension ref="A1:L51"/>
  <sheetViews>
    <sheetView zoomScaleNormal="100" workbookViewId="0">
      <selection activeCell="M29" sqref="M29"/>
    </sheetView>
  </sheetViews>
  <sheetFormatPr defaultColWidth="8.85546875" defaultRowHeight="15" x14ac:dyDescent="0.25"/>
  <cols>
    <col min="1" max="1" width="70.7109375" style="1" customWidth="1"/>
    <col min="2" max="2" width="10.7109375" style="3" customWidth="1"/>
    <col min="3" max="12" width="15.7109375" style="1" customWidth="1"/>
    <col min="13" max="16384" width="8.85546875" style="1"/>
  </cols>
  <sheetData>
    <row r="1" spans="2:12" ht="26.25" customHeight="1" x14ac:dyDescent="0.25">
      <c r="B1" s="108" t="s">
        <v>151</v>
      </c>
      <c r="C1" s="108"/>
      <c r="D1" s="108"/>
      <c r="E1" s="108"/>
      <c r="F1" s="108"/>
      <c r="G1" s="108"/>
      <c r="H1" s="108"/>
      <c r="I1" s="108"/>
      <c r="J1" s="108"/>
      <c r="K1" s="108"/>
      <c r="L1" s="108"/>
    </row>
    <row r="2" spans="2:12" ht="45" x14ac:dyDescent="0.25">
      <c r="B2" s="14" t="s">
        <v>0</v>
      </c>
      <c r="C2" s="2" t="s">
        <v>113</v>
      </c>
      <c r="D2" s="2" t="s">
        <v>114</v>
      </c>
      <c r="E2" s="2" t="s">
        <v>115</v>
      </c>
      <c r="F2" s="2" t="s">
        <v>116</v>
      </c>
      <c r="G2" s="2" t="s">
        <v>117</v>
      </c>
      <c r="H2" s="2" t="s">
        <v>118</v>
      </c>
      <c r="I2" s="2" t="s">
        <v>119</v>
      </c>
      <c r="J2" s="2" t="s">
        <v>120</v>
      </c>
      <c r="K2" s="2" t="s">
        <v>121</v>
      </c>
      <c r="L2" s="2" t="s">
        <v>122</v>
      </c>
    </row>
    <row r="3" spans="2:12" x14ac:dyDescent="0.25">
      <c r="B3" s="64">
        <v>1</v>
      </c>
      <c r="C3" s="78">
        <v>221671</v>
      </c>
      <c r="D3" s="78">
        <v>224290</v>
      </c>
      <c r="E3" s="78">
        <v>257443</v>
      </c>
      <c r="F3" s="78">
        <v>230108</v>
      </c>
      <c r="G3" s="78">
        <v>231437</v>
      </c>
      <c r="H3" s="78">
        <v>222698</v>
      </c>
      <c r="I3" s="78">
        <v>209578</v>
      </c>
      <c r="J3" s="78">
        <v>228676</v>
      </c>
      <c r="K3" s="78">
        <v>217939</v>
      </c>
      <c r="L3" s="78">
        <v>215429</v>
      </c>
    </row>
    <row r="4" spans="2:12" x14ac:dyDescent="0.25">
      <c r="B4" s="64">
        <v>2</v>
      </c>
      <c r="C4" s="78">
        <v>232854</v>
      </c>
      <c r="D4" s="78">
        <v>216128</v>
      </c>
      <c r="E4" s="78">
        <v>242914</v>
      </c>
      <c r="F4" s="78">
        <v>244932</v>
      </c>
      <c r="G4" s="78">
        <v>225935</v>
      </c>
      <c r="H4" s="78">
        <v>220339</v>
      </c>
      <c r="I4" s="78">
        <v>215898</v>
      </c>
      <c r="J4" s="78">
        <v>220125</v>
      </c>
      <c r="K4" s="78">
        <v>214592</v>
      </c>
      <c r="L4" s="78">
        <v>265159</v>
      </c>
    </row>
    <row r="5" spans="2:12" x14ac:dyDescent="0.25">
      <c r="B5" s="64">
        <v>3</v>
      </c>
      <c r="C5" s="78">
        <v>232936</v>
      </c>
      <c r="D5" s="78">
        <v>254907</v>
      </c>
      <c r="E5" s="78">
        <v>256968</v>
      </c>
      <c r="F5" s="78">
        <v>243882</v>
      </c>
      <c r="G5" s="78">
        <v>228836</v>
      </c>
      <c r="H5" s="78">
        <v>221300</v>
      </c>
      <c r="I5" s="78">
        <v>272360</v>
      </c>
      <c r="J5" s="78">
        <v>228361</v>
      </c>
      <c r="K5" s="78">
        <v>239611</v>
      </c>
      <c r="L5" s="78">
        <v>238275</v>
      </c>
    </row>
    <row r="6" spans="2:12" x14ac:dyDescent="0.25">
      <c r="B6" s="64">
        <v>4</v>
      </c>
      <c r="C6" s="78">
        <v>221172</v>
      </c>
      <c r="D6" s="78">
        <v>247299</v>
      </c>
      <c r="E6" s="78">
        <v>222319</v>
      </c>
      <c r="F6" s="78">
        <v>233937</v>
      </c>
      <c r="G6" s="78">
        <v>243411</v>
      </c>
      <c r="H6" s="78">
        <v>222324</v>
      </c>
      <c r="I6" s="78">
        <v>221400</v>
      </c>
      <c r="J6" s="78">
        <v>230167</v>
      </c>
      <c r="K6" s="78">
        <v>243099</v>
      </c>
      <c r="L6" s="78">
        <v>248126</v>
      </c>
    </row>
    <row r="7" spans="2:12" x14ac:dyDescent="0.25">
      <c r="B7" s="64">
        <v>5</v>
      </c>
      <c r="C7" s="78">
        <v>236230</v>
      </c>
      <c r="D7" s="78">
        <v>261480</v>
      </c>
      <c r="E7" s="78">
        <v>234196</v>
      </c>
      <c r="F7" s="78">
        <v>231917</v>
      </c>
      <c r="G7" s="78">
        <v>245583</v>
      </c>
      <c r="H7" s="78">
        <v>266510</v>
      </c>
      <c r="I7" s="78">
        <v>222393</v>
      </c>
      <c r="J7" s="78">
        <v>229032</v>
      </c>
      <c r="K7" s="78">
        <v>242111</v>
      </c>
      <c r="L7" s="78">
        <v>204292</v>
      </c>
    </row>
    <row r="8" spans="2:12" x14ac:dyDescent="0.25">
      <c r="B8" s="64">
        <v>6</v>
      </c>
      <c r="C8" s="78">
        <v>228923</v>
      </c>
      <c r="D8" s="78">
        <v>212902</v>
      </c>
      <c r="E8" s="78">
        <v>237950</v>
      </c>
      <c r="F8" s="78">
        <v>227775</v>
      </c>
      <c r="G8" s="78">
        <v>232089</v>
      </c>
      <c r="H8" s="78">
        <v>230398</v>
      </c>
      <c r="I8" s="78">
        <v>214593</v>
      </c>
      <c r="J8" s="78">
        <v>218420</v>
      </c>
      <c r="K8" s="78">
        <v>241366</v>
      </c>
      <c r="L8" s="78">
        <v>223322</v>
      </c>
    </row>
    <row r="9" spans="2:12" x14ac:dyDescent="0.25">
      <c r="B9" s="64">
        <v>7</v>
      </c>
      <c r="C9" s="78">
        <v>241015</v>
      </c>
      <c r="D9" s="78">
        <v>237380</v>
      </c>
      <c r="E9" s="78">
        <v>234289</v>
      </c>
      <c r="F9" s="78">
        <v>245200</v>
      </c>
      <c r="G9" s="78">
        <v>263403</v>
      </c>
      <c r="H9" s="78">
        <v>268657</v>
      </c>
      <c r="I9" s="78">
        <v>244393</v>
      </c>
      <c r="J9" s="78">
        <v>256295</v>
      </c>
      <c r="K9" s="78">
        <v>198038</v>
      </c>
      <c r="L9" s="78">
        <v>238137</v>
      </c>
    </row>
    <row r="10" spans="2:12" x14ac:dyDescent="0.25">
      <c r="B10" s="64">
        <v>8</v>
      </c>
      <c r="C10" s="78">
        <v>216638</v>
      </c>
      <c r="D10" s="78">
        <v>214039</v>
      </c>
      <c r="E10" s="78">
        <v>229167</v>
      </c>
      <c r="F10" s="78">
        <v>240902</v>
      </c>
      <c r="G10" s="78">
        <v>240201</v>
      </c>
      <c r="H10" s="78">
        <v>252278</v>
      </c>
      <c r="I10" s="78">
        <v>215829</v>
      </c>
      <c r="J10" s="78">
        <v>213644</v>
      </c>
      <c r="K10" s="78">
        <v>204926</v>
      </c>
      <c r="L10" s="78">
        <v>229681</v>
      </c>
    </row>
    <row r="11" spans="2:12" x14ac:dyDescent="0.25">
      <c r="B11" s="64">
        <v>9</v>
      </c>
      <c r="C11" s="78">
        <v>231281</v>
      </c>
      <c r="D11" s="78">
        <v>214778</v>
      </c>
      <c r="E11" s="78">
        <v>215570</v>
      </c>
      <c r="F11" s="78">
        <v>238250</v>
      </c>
      <c r="G11" s="78">
        <v>236035</v>
      </c>
      <c r="H11" s="78">
        <v>217808</v>
      </c>
      <c r="I11" s="78">
        <v>238032</v>
      </c>
      <c r="J11" s="78">
        <v>213129</v>
      </c>
      <c r="K11" s="78">
        <v>232580</v>
      </c>
      <c r="L11" s="78">
        <v>226301</v>
      </c>
    </row>
    <row r="12" spans="2:12" x14ac:dyDescent="0.25">
      <c r="B12" s="64">
        <v>10</v>
      </c>
      <c r="C12" s="78">
        <v>220801</v>
      </c>
      <c r="D12" s="78">
        <v>230050</v>
      </c>
      <c r="E12" s="78">
        <v>217964</v>
      </c>
      <c r="F12" s="78">
        <v>244717</v>
      </c>
      <c r="G12" s="78">
        <v>227531</v>
      </c>
      <c r="H12" s="78">
        <v>221944</v>
      </c>
      <c r="I12" s="78">
        <v>232979</v>
      </c>
      <c r="J12" s="78">
        <v>223924</v>
      </c>
      <c r="K12" s="78">
        <v>224912</v>
      </c>
      <c r="L12" s="78">
        <v>227660</v>
      </c>
    </row>
    <row r="13" spans="2:12" x14ac:dyDescent="0.25">
      <c r="B13" s="64">
        <v>11</v>
      </c>
      <c r="C13" s="78">
        <v>244874</v>
      </c>
      <c r="D13" s="78">
        <v>226757</v>
      </c>
      <c r="E13" s="78">
        <v>218013</v>
      </c>
      <c r="F13" s="78">
        <v>215237</v>
      </c>
      <c r="G13" s="78">
        <v>240028</v>
      </c>
      <c r="H13" s="78">
        <v>235129</v>
      </c>
      <c r="I13" s="78">
        <v>241962</v>
      </c>
      <c r="J13" s="78">
        <v>233772</v>
      </c>
      <c r="K13" s="78">
        <v>250673</v>
      </c>
      <c r="L13" s="78">
        <v>235676</v>
      </c>
    </row>
    <row r="14" spans="2:12" x14ac:dyDescent="0.25">
      <c r="B14" s="64">
        <v>12</v>
      </c>
      <c r="C14" s="78">
        <v>248863</v>
      </c>
      <c r="D14" s="78">
        <v>261509</v>
      </c>
      <c r="E14" s="78">
        <v>238646</v>
      </c>
      <c r="F14" s="78">
        <v>238524</v>
      </c>
      <c r="G14" s="78">
        <v>216076</v>
      </c>
      <c r="H14" s="78">
        <v>213267</v>
      </c>
      <c r="I14" s="78">
        <v>245789</v>
      </c>
      <c r="J14" s="78">
        <v>246708</v>
      </c>
      <c r="K14" s="78">
        <v>222844</v>
      </c>
      <c r="L14" s="78">
        <v>249839</v>
      </c>
    </row>
    <row r="15" spans="2:12" x14ac:dyDescent="0.25">
      <c r="B15" s="64">
        <v>13</v>
      </c>
      <c r="C15" s="78">
        <v>227355</v>
      </c>
      <c r="D15" s="78">
        <v>229727</v>
      </c>
      <c r="E15" s="78">
        <v>239267</v>
      </c>
      <c r="F15" s="78">
        <v>256706</v>
      </c>
      <c r="G15" s="78">
        <v>239260</v>
      </c>
      <c r="H15" s="78">
        <v>235704</v>
      </c>
      <c r="I15" s="78">
        <v>203207</v>
      </c>
      <c r="J15" s="78">
        <v>249134</v>
      </c>
      <c r="K15" s="78">
        <v>237149</v>
      </c>
      <c r="L15" s="78">
        <v>240605</v>
      </c>
    </row>
    <row r="16" spans="2:12" x14ac:dyDescent="0.25">
      <c r="B16" s="64">
        <v>14</v>
      </c>
      <c r="C16" s="78">
        <v>209344</v>
      </c>
      <c r="D16" s="78">
        <v>246186</v>
      </c>
      <c r="E16" s="78">
        <v>225146</v>
      </c>
      <c r="F16" s="78">
        <v>232897</v>
      </c>
      <c r="G16" s="78">
        <v>246078</v>
      </c>
      <c r="H16" s="78">
        <v>200649</v>
      </c>
      <c r="I16" s="78">
        <v>267550</v>
      </c>
      <c r="J16" s="78">
        <v>206860</v>
      </c>
      <c r="K16" s="78">
        <v>242775</v>
      </c>
      <c r="L16" s="78">
        <v>232199</v>
      </c>
    </row>
    <row r="17" spans="1:12" ht="24" customHeight="1" x14ac:dyDescent="0.4">
      <c r="A17" s="103" t="s">
        <v>123</v>
      </c>
      <c r="B17" s="103"/>
      <c r="C17" s="79">
        <f>AVERAGE(Table1456789102341112283034[No. Of Iterations Block Of Text - Run 1])</f>
        <v>229568.35714285713</v>
      </c>
      <c r="D17" s="7">
        <f>AVERAGE(Table1456789102341112283034[No. Of Iterations Block Of Text - Run 2])</f>
        <v>234102.28571428571</v>
      </c>
      <c r="E17" s="7">
        <f>AVERAGE(Table1456789102341112283034[No. Of Iterations Block Of Text - Run 3])</f>
        <v>233560.85714285713</v>
      </c>
      <c r="F17" s="7">
        <f>AVERAGE(Table1456789102341112283034[No. Of Iterations Block Of Text - Run 4])</f>
        <v>237498.85714285713</v>
      </c>
      <c r="G17" s="7">
        <f>AVERAGE(Table1456789102341112283034[No. Of Iterations Block Of Text - Run 5])</f>
        <v>236850.21428571429</v>
      </c>
      <c r="H17" s="7">
        <f>AVERAGE(Table1456789102341112283034[No. Of Iterations Block Of Text - Run 6])</f>
        <v>230643.21428571429</v>
      </c>
      <c r="I17" s="7">
        <f>AVERAGE(Table1456789102341112283034[No. Of Iterations Block Of Text - Run 7])</f>
        <v>231854.5</v>
      </c>
      <c r="J17" s="7">
        <f>AVERAGE(Table1456789102341112283034[No. Of Iterations Block Of Text - Run 8])</f>
        <v>228446.21428571429</v>
      </c>
      <c r="K17" s="7">
        <f>AVERAGE(Table1456789102341112283034[No. Of Iterations Block Of Text - Run 9])</f>
        <v>229472.5</v>
      </c>
      <c r="L17" s="7">
        <f>AVERAGE(Table1456789102341112283034[No. Of Iterations Block Of Text - Run 10])</f>
        <v>233907.21428571429</v>
      </c>
    </row>
    <row r="18" spans="1:12" ht="24" x14ac:dyDescent="0.4">
      <c r="A18" s="103" t="s">
        <v>124</v>
      </c>
      <c r="B18" s="103"/>
      <c r="C18" s="79">
        <f>MIN(Table1456789102341112283034[No. Of Iterations Block Of Text - Run 1])</f>
        <v>209344</v>
      </c>
      <c r="D18" s="7">
        <f>MIN(Table1456789102341112283034[No. Of Iterations Block Of Text - Run 2])</f>
        <v>212902</v>
      </c>
      <c r="E18" s="7">
        <f>MIN(Table1456789102341112283034[No. Of Iterations Block Of Text - Run 3])</f>
        <v>215570</v>
      </c>
      <c r="F18" s="7">
        <f>MIN(Table1456789102341112283034[No. Of Iterations Block Of Text - Run 4])</f>
        <v>215237</v>
      </c>
      <c r="G18" s="7">
        <f>MIN(Table1456789102341112283034[No. Of Iterations Block Of Text - Run 5])</f>
        <v>216076</v>
      </c>
      <c r="H18" s="7">
        <f>MIN(Table1456789102341112283034[No. Of Iterations Block Of Text - Run 6])</f>
        <v>200649</v>
      </c>
      <c r="I18" s="7">
        <f>MIN(Table1456789102341112283034[No. Of Iterations Block Of Text - Run 7])</f>
        <v>203207</v>
      </c>
      <c r="J18" s="7">
        <f>MIN(Table1456789102341112283034[No. Of Iterations Block Of Text - Run 8])</f>
        <v>206860</v>
      </c>
      <c r="K18" s="7">
        <f>MIN(Table1456789102341112283034[No. Of Iterations Block Of Text - Run 9])</f>
        <v>198038</v>
      </c>
      <c r="L18" s="7">
        <f>MIN(Table1456789102341112283034[No. Of Iterations Block Of Text - Run 10])</f>
        <v>204292</v>
      </c>
    </row>
    <row r="19" spans="1:12" ht="24" x14ac:dyDescent="0.4">
      <c r="A19" s="103" t="s">
        <v>125</v>
      </c>
      <c r="B19" s="133"/>
      <c r="C19" s="79">
        <f>MAX(Table1456789102341112283034[No. Of Iterations Block Of Text - Run 1])</f>
        <v>248863</v>
      </c>
      <c r="D19" s="7">
        <f>MAX(Table1456789102341112283034[No. Of Iterations Block Of Text - Run 2])</f>
        <v>261509</v>
      </c>
      <c r="E19" s="7">
        <f>MAX(Table1456789102341112283034[No. Of Iterations Block Of Text - Run 3])</f>
        <v>257443</v>
      </c>
      <c r="F19" s="7">
        <f>MAX(Table1456789102341112283034[No. Of Iterations Block Of Text - Run 4])</f>
        <v>256706</v>
      </c>
      <c r="G19" s="7">
        <f>MAX(Table1456789102341112283034[No. Of Iterations Block Of Text - Run 5])</f>
        <v>263403</v>
      </c>
      <c r="H19" s="7">
        <f>MAX(Table1456789102341112283034[No. Of Iterations Block Of Text - Run 6])</f>
        <v>268657</v>
      </c>
      <c r="I19" s="7">
        <f>MAX(Table1456789102341112283034[No. Of Iterations Block Of Text - Run 7])</f>
        <v>272360</v>
      </c>
      <c r="J19" s="7">
        <f>MAX(Table1456789102341112283034[No. Of Iterations Block Of Text - Run 8])</f>
        <v>256295</v>
      </c>
      <c r="K19" s="7">
        <f>MAX(Table1456789102341112283034[No. Of Iterations Block Of Text - Run 9])</f>
        <v>250673</v>
      </c>
      <c r="L19" s="7">
        <f>MAX(Table1456789102341112283034[No. Of Iterations Block Of Text - Run 10])</f>
        <v>265159</v>
      </c>
    </row>
    <row r="20" spans="1:12" ht="24" x14ac:dyDescent="0.4">
      <c r="A20" s="103" t="s">
        <v>126</v>
      </c>
      <c r="B20" s="133"/>
      <c r="C20" s="79">
        <f>C19-C18</f>
        <v>39519</v>
      </c>
      <c r="D20" s="7">
        <f t="shared" ref="D20:L20" si="0">D19-D18</f>
        <v>48607</v>
      </c>
      <c r="E20" s="7">
        <f>E19-E18</f>
        <v>41873</v>
      </c>
      <c r="F20" s="7">
        <f>F19-F18</f>
        <v>41469</v>
      </c>
      <c r="G20" s="7">
        <f t="shared" si="0"/>
        <v>47327</v>
      </c>
      <c r="H20" s="7">
        <f t="shared" si="0"/>
        <v>68008</v>
      </c>
      <c r="I20" s="7">
        <f t="shared" si="0"/>
        <v>69153</v>
      </c>
      <c r="J20" s="7">
        <f t="shared" si="0"/>
        <v>49435</v>
      </c>
      <c r="K20" s="7">
        <f t="shared" si="0"/>
        <v>52635</v>
      </c>
      <c r="L20" s="7">
        <f t="shared" si="0"/>
        <v>60867</v>
      </c>
    </row>
    <row r="21" spans="1:12" ht="24" x14ac:dyDescent="0.4">
      <c r="A21" s="103" t="s">
        <v>127</v>
      </c>
      <c r="B21" s="133"/>
      <c r="C21" s="83">
        <f>C20/C18</f>
        <v>0.1887754127178233</v>
      </c>
      <c r="D21" s="84">
        <f t="shared" ref="D21:L21" si="1">D20/D18</f>
        <v>0.22830692055499713</v>
      </c>
      <c r="E21" s="84">
        <f t="shared" si="1"/>
        <v>0.19424316927216217</v>
      </c>
      <c r="F21" s="84">
        <f t="shared" si="1"/>
        <v>0.19266668834819292</v>
      </c>
      <c r="G21" s="84">
        <f t="shared" si="1"/>
        <v>0.21902941557600103</v>
      </c>
      <c r="H21" s="84">
        <f t="shared" si="1"/>
        <v>0.33894013924813976</v>
      </c>
      <c r="I21" s="84">
        <f t="shared" si="1"/>
        <v>0.34030815867563619</v>
      </c>
      <c r="J21" s="84">
        <f t="shared" si="1"/>
        <v>0.2389780527893261</v>
      </c>
      <c r="K21" s="84">
        <f t="shared" si="1"/>
        <v>0.26578232460436885</v>
      </c>
      <c r="L21" s="84">
        <f t="shared" si="1"/>
        <v>0.297941182229358</v>
      </c>
    </row>
    <row r="22" spans="1:12" ht="31.5" x14ac:dyDescent="0.5">
      <c r="A22" s="103" t="s">
        <v>128</v>
      </c>
      <c r="B22" s="133"/>
      <c r="C22" s="85">
        <f>MIN(C21:L21)</f>
        <v>0.1887754127178233</v>
      </c>
      <c r="D22" s="7"/>
      <c r="E22" s="7"/>
      <c r="F22" s="7"/>
      <c r="G22" s="7"/>
      <c r="H22" s="7"/>
      <c r="I22" s="7"/>
      <c r="J22" s="7"/>
      <c r="K22" s="7"/>
      <c r="L22" s="7"/>
    </row>
    <row r="23" spans="1:12" ht="31.5" x14ac:dyDescent="0.5">
      <c r="A23" s="103" t="s">
        <v>129</v>
      </c>
      <c r="B23" s="133"/>
      <c r="C23" s="85">
        <f>MAX(C21:L21)</f>
        <v>0.34030815867563619</v>
      </c>
      <c r="D23" s="7"/>
      <c r="E23" s="7"/>
      <c r="F23" s="7"/>
      <c r="G23" s="7"/>
      <c r="H23" s="7"/>
      <c r="I23" s="7"/>
      <c r="J23" s="7"/>
      <c r="K23" s="7"/>
      <c r="L23" s="7"/>
    </row>
    <row r="24" spans="1:12" ht="24" x14ac:dyDescent="0.4">
      <c r="A24" s="103" t="s">
        <v>130</v>
      </c>
      <c r="B24" s="133"/>
      <c r="C24" s="84">
        <f>AVERAGE(C21:L21)</f>
        <v>0.25049714640160053</v>
      </c>
      <c r="D24" s="7"/>
      <c r="E24" s="7"/>
      <c r="F24" s="7"/>
      <c r="G24" s="7"/>
      <c r="H24" s="7"/>
      <c r="I24" s="7"/>
      <c r="J24" s="7"/>
      <c r="K24" s="7"/>
      <c r="L24" s="7"/>
    </row>
    <row r="25" spans="1:12" ht="24" x14ac:dyDescent="0.4">
      <c r="A25" s="103" t="s">
        <v>138</v>
      </c>
      <c r="B25" s="133"/>
      <c r="C25" s="59">
        <f>AVERAGE(C17:L17)</f>
        <v>232590.4214285714</v>
      </c>
    </row>
    <row r="26" spans="1:12" x14ac:dyDescent="0.25">
      <c r="A26" s="9"/>
      <c r="B26" s="9"/>
    </row>
    <row r="27" spans="1:12" ht="26.25" x14ac:dyDescent="0.25">
      <c r="B27" s="108" t="s">
        <v>152</v>
      </c>
      <c r="C27" s="108"/>
      <c r="D27" s="108"/>
      <c r="E27" s="108"/>
      <c r="F27" s="108"/>
      <c r="G27" s="108"/>
      <c r="H27" s="108"/>
      <c r="I27" s="108"/>
      <c r="J27" s="108"/>
      <c r="K27" s="108"/>
      <c r="L27" s="108"/>
    </row>
    <row r="28" spans="1:12" ht="45" x14ac:dyDescent="0.25">
      <c r="B28" s="14" t="s">
        <v>0</v>
      </c>
      <c r="C28" s="2" t="s">
        <v>113</v>
      </c>
      <c r="D28" s="2" t="s">
        <v>114</v>
      </c>
      <c r="E28" s="2" t="s">
        <v>115</v>
      </c>
      <c r="F28" s="2" t="s">
        <v>116</v>
      </c>
      <c r="G28" s="2" t="s">
        <v>117</v>
      </c>
      <c r="H28" s="2" t="s">
        <v>118</v>
      </c>
      <c r="I28" s="2" t="s">
        <v>119</v>
      </c>
      <c r="J28" s="2" t="s">
        <v>120</v>
      </c>
      <c r="K28" s="2" t="s">
        <v>121</v>
      </c>
      <c r="L28" s="2" t="s">
        <v>122</v>
      </c>
    </row>
    <row r="29" spans="1:12" x14ac:dyDescent="0.25">
      <c r="B29" s="64">
        <v>1</v>
      </c>
      <c r="C29" s="78">
        <v>253060</v>
      </c>
      <c r="D29" s="78">
        <v>234318</v>
      </c>
      <c r="E29" s="78">
        <v>230245</v>
      </c>
      <c r="F29" s="78">
        <v>253369</v>
      </c>
      <c r="G29" s="78">
        <v>264029</v>
      </c>
      <c r="H29" s="78">
        <v>231733</v>
      </c>
      <c r="I29" s="78">
        <v>282442</v>
      </c>
      <c r="J29" s="78">
        <v>258362</v>
      </c>
      <c r="K29" s="78">
        <v>250643</v>
      </c>
      <c r="L29" s="78">
        <v>220675</v>
      </c>
    </row>
    <row r="30" spans="1:12" x14ac:dyDescent="0.25">
      <c r="B30" s="64">
        <v>2</v>
      </c>
      <c r="C30" s="78">
        <v>240818</v>
      </c>
      <c r="D30" s="78">
        <v>266264</v>
      </c>
      <c r="E30" s="78">
        <v>247354</v>
      </c>
      <c r="F30" s="78">
        <v>270740</v>
      </c>
      <c r="G30" s="78">
        <v>232225</v>
      </c>
      <c r="H30" s="78">
        <v>230392</v>
      </c>
      <c r="I30" s="78">
        <v>253261</v>
      </c>
      <c r="J30" s="78">
        <v>230996</v>
      </c>
      <c r="K30" s="78">
        <v>241832</v>
      </c>
      <c r="L30" s="78">
        <v>241286</v>
      </c>
    </row>
    <row r="31" spans="1:12" x14ac:dyDescent="0.25">
      <c r="B31" s="64">
        <v>3</v>
      </c>
      <c r="C31" s="78">
        <v>239348</v>
      </c>
      <c r="D31" s="78">
        <v>266936</v>
      </c>
      <c r="E31" s="78">
        <v>242502</v>
      </c>
      <c r="F31" s="78">
        <v>244581</v>
      </c>
      <c r="G31" s="78">
        <v>266697</v>
      </c>
      <c r="H31" s="78">
        <v>276396</v>
      </c>
      <c r="I31" s="78">
        <v>251205</v>
      </c>
      <c r="J31" s="78">
        <v>249958</v>
      </c>
      <c r="K31" s="78">
        <v>255963</v>
      </c>
      <c r="L31" s="78">
        <v>259879</v>
      </c>
    </row>
    <row r="32" spans="1:12" x14ac:dyDescent="0.25">
      <c r="B32" s="64">
        <v>4</v>
      </c>
      <c r="C32" s="78">
        <v>252338</v>
      </c>
      <c r="D32" s="78">
        <v>235252</v>
      </c>
      <c r="E32" s="78">
        <v>272110</v>
      </c>
      <c r="F32" s="78">
        <v>240170</v>
      </c>
      <c r="G32" s="78">
        <v>231291</v>
      </c>
      <c r="H32" s="78">
        <v>262495</v>
      </c>
      <c r="I32" s="78">
        <v>253588</v>
      </c>
      <c r="J32" s="78">
        <v>270930</v>
      </c>
      <c r="K32" s="78">
        <v>281077</v>
      </c>
      <c r="L32" s="78">
        <v>249061</v>
      </c>
    </row>
    <row r="33" spans="1:12" x14ac:dyDescent="0.25">
      <c r="B33" s="64">
        <v>5</v>
      </c>
      <c r="C33" s="78">
        <v>277694</v>
      </c>
      <c r="D33" s="78">
        <v>238096</v>
      </c>
      <c r="E33" s="78">
        <v>250700</v>
      </c>
      <c r="F33" s="78">
        <v>279776</v>
      </c>
      <c r="G33" s="78">
        <v>235948</v>
      </c>
      <c r="H33" s="78">
        <v>261750</v>
      </c>
      <c r="I33" s="78">
        <v>229445</v>
      </c>
      <c r="J33" s="78">
        <v>239283</v>
      </c>
      <c r="K33" s="78">
        <v>237563</v>
      </c>
      <c r="L33" s="78">
        <v>285508</v>
      </c>
    </row>
    <row r="34" spans="1:12" x14ac:dyDescent="0.25">
      <c r="B34" s="64">
        <v>6</v>
      </c>
      <c r="C34" s="78">
        <v>238117</v>
      </c>
      <c r="D34" s="78">
        <v>239880</v>
      </c>
      <c r="E34" s="78">
        <v>272750</v>
      </c>
      <c r="F34" s="78">
        <v>274531</v>
      </c>
      <c r="G34" s="78">
        <v>262330</v>
      </c>
      <c r="H34" s="78">
        <v>253748</v>
      </c>
      <c r="I34" s="78">
        <v>239340</v>
      </c>
      <c r="J34" s="78">
        <v>256955</v>
      </c>
      <c r="K34" s="78">
        <v>249422</v>
      </c>
      <c r="L34" s="78">
        <v>240958</v>
      </c>
    </row>
    <row r="35" spans="1:12" x14ac:dyDescent="0.25">
      <c r="B35" s="64">
        <v>7</v>
      </c>
      <c r="C35" s="78">
        <v>252735</v>
      </c>
      <c r="D35" s="78">
        <v>229327</v>
      </c>
      <c r="E35" s="78">
        <v>269625</v>
      </c>
      <c r="F35" s="78">
        <v>241067</v>
      </c>
      <c r="G35" s="78">
        <v>266506</v>
      </c>
      <c r="H35" s="78">
        <v>250531</v>
      </c>
      <c r="I35" s="78">
        <v>249893</v>
      </c>
      <c r="J35" s="78">
        <v>246910</v>
      </c>
      <c r="K35" s="78">
        <v>251755</v>
      </c>
      <c r="L35" s="78">
        <v>230644</v>
      </c>
    </row>
    <row r="36" spans="1:12" x14ac:dyDescent="0.25">
      <c r="B36" s="64">
        <v>8</v>
      </c>
      <c r="C36" s="78">
        <v>286470</v>
      </c>
      <c r="D36" s="78">
        <v>236797</v>
      </c>
      <c r="E36" s="78">
        <v>243641</v>
      </c>
      <c r="F36" s="78">
        <v>224409</v>
      </c>
      <c r="G36" s="78">
        <v>247026</v>
      </c>
      <c r="H36" s="78">
        <v>247509</v>
      </c>
      <c r="I36" s="78">
        <v>244675</v>
      </c>
      <c r="J36" s="78">
        <v>271203</v>
      </c>
      <c r="K36" s="78">
        <v>258858</v>
      </c>
      <c r="L36" s="78">
        <v>260249</v>
      </c>
    </row>
    <row r="37" spans="1:12" x14ac:dyDescent="0.25">
      <c r="B37" s="64">
        <v>9</v>
      </c>
      <c r="C37" s="78">
        <v>273426</v>
      </c>
      <c r="D37" s="78">
        <v>263536</v>
      </c>
      <c r="E37" s="78">
        <v>265674</v>
      </c>
      <c r="F37" s="78">
        <v>272610</v>
      </c>
      <c r="G37" s="78">
        <v>244253</v>
      </c>
      <c r="H37" s="78">
        <v>234636</v>
      </c>
      <c r="I37" s="78">
        <v>293263</v>
      </c>
      <c r="J37" s="78">
        <v>249562</v>
      </c>
      <c r="K37" s="78">
        <v>236029</v>
      </c>
      <c r="L37" s="78">
        <v>245373</v>
      </c>
    </row>
    <row r="38" spans="1:12" x14ac:dyDescent="0.25">
      <c r="B38" s="64">
        <v>10</v>
      </c>
      <c r="C38" s="78">
        <v>236098</v>
      </c>
      <c r="D38" s="78">
        <v>247777</v>
      </c>
      <c r="E38" s="78">
        <v>263702</v>
      </c>
      <c r="F38" s="78">
        <v>244595</v>
      </c>
      <c r="G38" s="78">
        <v>258660</v>
      </c>
      <c r="H38" s="78">
        <v>261077</v>
      </c>
      <c r="I38" s="78">
        <v>245092</v>
      </c>
      <c r="J38" s="78">
        <v>233261</v>
      </c>
      <c r="K38" s="78">
        <v>283179</v>
      </c>
      <c r="L38" s="78">
        <v>241808</v>
      </c>
    </row>
    <row r="39" spans="1:12" x14ac:dyDescent="0.25">
      <c r="B39" s="64">
        <v>11</v>
      </c>
      <c r="C39" s="78">
        <v>246331</v>
      </c>
      <c r="D39" s="78">
        <v>240882</v>
      </c>
      <c r="E39" s="78">
        <v>267416</v>
      </c>
      <c r="F39" s="78">
        <v>222936</v>
      </c>
      <c r="G39" s="78">
        <v>222454</v>
      </c>
      <c r="H39" s="78">
        <v>271397</v>
      </c>
      <c r="I39" s="78">
        <v>246273</v>
      </c>
      <c r="J39" s="78">
        <v>271286</v>
      </c>
      <c r="K39" s="78">
        <v>247012</v>
      </c>
      <c r="L39" s="78">
        <v>258213</v>
      </c>
    </row>
    <row r="40" spans="1:12" x14ac:dyDescent="0.25">
      <c r="B40" s="64">
        <v>12</v>
      </c>
      <c r="C40" s="78">
        <v>246800</v>
      </c>
      <c r="D40" s="78">
        <v>272332</v>
      </c>
      <c r="E40" s="78">
        <v>236880</v>
      </c>
      <c r="F40" s="78">
        <v>296458</v>
      </c>
      <c r="G40" s="78">
        <v>258710</v>
      </c>
      <c r="H40" s="78">
        <v>241582</v>
      </c>
      <c r="I40" s="78">
        <v>253569</v>
      </c>
      <c r="J40" s="78">
        <v>238932</v>
      </c>
      <c r="K40" s="78">
        <v>257300</v>
      </c>
      <c r="L40" s="78">
        <v>235227</v>
      </c>
    </row>
    <row r="41" spans="1:12" x14ac:dyDescent="0.25">
      <c r="B41" s="64">
        <v>13</v>
      </c>
      <c r="C41" s="78">
        <v>256543</v>
      </c>
      <c r="D41" s="78">
        <v>245119</v>
      </c>
      <c r="E41" s="78">
        <v>230876</v>
      </c>
      <c r="F41" s="78">
        <v>246762</v>
      </c>
      <c r="G41" s="78">
        <v>265170</v>
      </c>
      <c r="H41" s="78">
        <v>257496</v>
      </c>
      <c r="I41" s="78">
        <v>244506</v>
      </c>
      <c r="J41" s="78">
        <v>292620</v>
      </c>
      <c r="K41" s="78">
        <v>234486</v>
      </c>
      <c r="L41" s="78">
        <v>279156</v>
      </c>
    </row>
    <row r="42" spans="1:12" x14ac:dyDescent="0.25">
      <c r="B42" s="64">
        <v>14</v>
      </c>
      <c r="C42" s="78">
        <v>229246</v>
      </c>
      <c r="D42" s="78">
        <v>243968</v>
      </c>
      <c r="E42" s="78">
        <v>231042</v>
      </c>
      <c r="F42" s="78">
        <v>221822</v>
      </c>
      <c r="G42" s="78">
        <v>252476</v>
      </c>
      <c r="H42" s="78">
        <v>230470</v>
      </c>
      <c r="I42" s="78">
        <v>226899</v>
      </c>
      <c r="J42" s="78">
        <v>232333</v>
      </c>
      <c r="K42" s="78">
        <v>226270</v>
      </c>
      <c r="L42" s="78">
        <v>255747</v>
      </c>
    </row>
    <row r="43" spans="1:12" ht="24" x14ac:dyDescent="0.4">
      <c r="A43" s="103" t="s">
        <v>123</v>
      </c>
      <c r="B43" s="103"/>
      <c r="C43" s="79">
        <f>AVERAGE(Table145678910234111213293135[No. Of Iterations Block Of Text - Run 1])</f>
        <v>252073.14285714287</v>
      </c>
      <c r="D43" s="7">
        <f>AVERAGE(Table145678910234111213293135[No. Of Iterations Block Of Text - Run 2])</f>
        <v>247177.42857142858</v>
      </c>
      <c r="E43" s="7">
        <f>AVERAGE(Table145678910234111213293135[No. Of Iterations Block Of Text - Run 3])</f>
        <v>251751.21428571429</v>
      </c>
      <c r="F43" s="7">
        <f>AVERAGE(Table145678910234111213293135[No. Of Iterations Block Of Text - Run 4])</f>
        <v>252416.14285714287</v>
      </c>
      <c r="G43" s="7">
        <f>AVERAGE(Table145678910234111213293135[No. Of Iterations Block Of Text - Run 5])</f>
        <v>250555.35714285713</v>
      </c>
      <c r="H43" s="7">
        <f>AVERAGE(Table145678910234111213293135[No. Of Iterations Block Of Text - Run 6])</f>
        <v>250800.85714285713</v>
      </c>
      <c r="I43" s="7">
        <f>AVERAGE(Table145678910234111213293135[No. Of Iterations Block Of Text - Run 7])</f>
        <v>250960.78571428571</v>
      </c>
      <c r="J43" s="7">
        <f>AVERAGE(Table145678910234111213293135[No. Of Iterations Block Of Text - Run 8])</f>
        <v>253042.21428571429</v>
      </c>
      <c r="K43" s="7">
        <f>AVERAGE(Table145678910234111213293135[No. Of Iterations Block Of Text - Run 9])</f>
        <v>250813.5</v>
      </c>
      <c r="L43" s="7">
        <f>AVERAGE(Table145678910234111213293135[No. Of Iterations Block Of Text - Run 10])</f>
        <v>250270.28571428571</v>
      </c>
    </row>
    <row r="44" spans="1:12" ht="24" x14ac:dyDescent="0.4">
      <c r="A44" s="103" t="s">
        <v>124</v>
      </c>
      <c r="B44" s="103"/>
      <c r="C44" s="79">
        <f>MIN(Table145678910234111213293135[No. Of Iterations Block Of Text - Run 1])</f>
        <v>229246</v>
      </c>
      <c r="D44" s="7">
        <f>MIN(Table145678910234111213293135[No. Of Iterations Block Of Text - Run 2])</f>
        <v>229327</v>
      </c>
      <c r="E44" s="7">
        <f>MIN(Table145678910234111213293135[No. Of Iterations Block Of Text - Run 3])</f>
        <v>230245</v>
      </c>
      <c r="F44" s="7">
        <f>MIN(Table145678910234111213293135[No. Of Iterations Block Of Text - Run 4])</f>
        <v>221822</v>
      </c>
      <c r="G44" s="7">
        <f>MIN(Table145678910234111213293135[No. Of Iterations Block Of Text - Run 5])</f>
        <v>222454</v>
      </c>
      <c r="H44" s="7">
        <f>MIN(Table145678910234111213293135[No. Of Iterations Block Of Text - Run 6])</f>
        <v>230392</v>
      </c>
      <c r="I44" s="7">
        <f>MIN(Table145678910234111213293135[No. Of Iterations Block Of Text - Run 7])</f>
        <v>226899</v>
      </c>
      <c r="J44" s="7">
        <f>MIN(Table145678910234111213293135[No. Of Iterations Block Of Text - Run 8])</f>
        <v>230996</v>
      </c>
      <c r="K44" s="7">
        <f>MIN(Table145678910234111213293135[No. Of Iterations Block Of Text - Run 9])</f>
        <v>226270</v>
      </c>
      <c r="L44" s="7">
        <f>MIN(Table145678910234111213293135[No. Of Iterations Block Of Text - Run 10])</f>
        <v>220675</v>
      </c>
    </row>
    <row r="45" spans="1:12" ht="24" x14ac:dyDescent="0.4">
      <c r="A45" s="103" t="s">
        <v>125</v>
      </c>
      <c r="B45" s="133"/>
      <c r="C45" s="79">
        <f>MAX(Table145678910234111213293135[No. Of Iterations Block Of Text - Run 1])</f>
        <v>286470</v>
      </c>
      <c r="D45" s="7">
        <f>MAX(Table145678910234111213293135[No. Of Iterations Block Of Text - Run 2])</f>
        <v>272332</v>
      </c>
      <c r="E45" s="7">
        <f>MAX(Table145678910234111213293135[No. Of Iterations Block Of Text - Run 3])</f>
        <v>272750</v>
      </c>
      <c r="F45" s="7">
        <f>MAX(Table145678910234111213293135[No. Of Iterations Block Of Text - Run 4])</f>
        <v>296458</v>
      </c>
      <c r="G45" s="7">
        <f>MAX(Table145678910234111213293135[No. Of Iterations Block Of Text - Run 5])</f>
        <v>266697</v>
      </c>
      <c r="H45" s="7">
        <f>MAX(Table145678910234111213293135[No. Of Iterations Block Of Text - Run 6])</f>
        <v>276396</v>
      </c>
      <c r="I45" s="7">
        <f>MAX(Table145678910234111213293135[No. Of Iterations Block Of Text - Run 7])</f>
        <v>293263</v>
      </c>
      <c r="J45" s="7">
        <f>MAX(Table145678910234111213293135[No. Of Iterations Block Of Text - Run 8])</f>
        <v>292620</v>
      </c>
      <c r="K45" s="7">
        <f>MAX(Table145678910234111213293135[No. Of Iterations Block Of Text - Run 9])</f>
        <v>283179</v>
      </c>
      <c r="L45" s="7">
        <f>MAX(Table145678910234111213293135[No. Of Iterations Block Of Text - Run 10])</f>
        <v>285508</v>
      </c>
    </row>
    <row r="46" spans="1:12" ht="24" x14ac:dyDescent="0.4">
      <c r="A46" s="103" t="s">
        <v>126</v>
      </c>
      <c r="B46" s="133"/>
      <c r="C46" s="79">
        <f>C45-C44</f>
        <v>57224</v>
      </c>
      <c r="D46" s="7">
        <f t="shared" ref="D46" si="2">D45-D44</f>
        <v>43005</v>
      </c>
      <c r="E46" s="7">
        <f>E45-E44</f>
        <v>42505</v>
      </c>
      <c r="F46" s="7">
        <f>F45-F44</f>
        <v>74636</v>
      </c>
      <c r="G46" s="7">
        <f t="shared" ref="G46:L46" si="3">G45-G44</f>
        <v>44243</v>
      </c>
      <c r="H46" s="7">
        <f t="shared" si="3"/>
        <v>46004</v>
      </c>
      <c r="I46" s="7">
        <f t="shared" si="3"/>
        <v>66364</v>
      </c>
      <c r="J46" s="7">
        <f t="shared" si="3"/>
        <v>61624</v>
      </c>
      <c r="K46" s="7">
        <f t="shared" si="3"/>
        <v>56909</v>
      </c>
      <c r="L46" s="7">
        <f t="shared" si="3"/>
        <v>64833</v>
      </c>
    </row>
    <row r="47" spans="1:12" ht="24" x14ac:dyDescent="0.4">
      <c r="A47" s="103" t="s">
        <v>127</v>
      </c>
      <c r="B47" s="133"/>
      <c r="C47" s="83">
        <f>C46/C44</f>
        <v>0.24961831395095224</v>
      </c>
      <c r="D47" s="84">
        <f t="shared" ref="D47:L47" si="4">D46/D44</f>
        <v>0.18752698112302521</v>
      </c>
      <c r="E47" s="84">
        <f t="shared" si="4"/>
        <v>0.18460770049295316</v>
      </c>
      <c r="F47" s="84">
        <f t="shared" si="4"/>
        <v>0.33646797882987262</v>
      </c>
      <c r="G47" s="84">
        <f t="shared" si="4"/>
        <v>0.19888606183750349</v>
      </c>
      <c r="H47" s="84">
        <f t="shared" si="4"/>
        <v>0.19967707212055974</v>
      </c>
      <c r="I47" s="84">
        <f t="shared" si="4"/>
        <v>0.29248255831889958</v>
      </c>
      <c r="J47" s="84">
        <f t="shared" si="4"/>
        <v>0.26677518225423819</v>
      </c>
      <c r="K47" s="84">
        <f t="shared" si="4"/>
        <v>0.25150925885004638</v>
      </c>
      <c r="L47" s="84">
        <f t="shared" si="4"/>
        <v>0.29379404101053586</v>
      </c>
    </row>
    <row r="48" spans="1:12" ht="31.5" x14ac:dyDescent="0.5">
      <c r="A48" s="103" t="s">
        <v>128</v>
      </c>
      <c r="B48" s="133"/>
      <c r="C48" s="85">
        <f>MIN(C47:L47)</f>
        <v>0.18460770049295316</v>
      </c>
      <c r="D48" s="7"/>
      <c r="E48" s="7"/>
      <c r="F48" s="7"/>
      <c r="G48" s="7"/>
      <c r="H48" s="7"/>
      <c r="I48" s="7"/>
      <c r="J48" s="7"/>
      <c r="K48" s="7"/>
      <c r="L48" s="7"/>
    </row>
    <row r="49" spans="1:12" ht="31.5" x14ac:dyDescent="0.5">
      <c r="A49" s="103" t="s">
        <v>129</v>
      </c>
      <c r="B49" s="133"/>
      <c r="C49" s="85">
        <f>MAX(C47:L47)</f>
        <v>0.33646797882987262</v>
      </c>
      <c r="D49" s="7"/>
      <c r="E49" s="7"/>
      <c r="F49" s="7"/>
      <c r="G49" s="7"/>
      <c r="H49" s="7"/>
      <c r="I49" s="7"/>
      <c r="J49" s="7"/>
      <c r="K49" s="7"/>
      <c r="L49" s="7"/>
    </row>
    <row r="50" spans="1:12" ht="24" x14ac:dyDescent="0.4">
      <c r="A50" s="103" t="s">
        <v>130</v>
      </c>
      <c r="B50" s="133"/>
      <c r="C50" s="84">
        <f>AVERAGE(C47:L47)</f>
        <v>0.24613451487885868</v>
      </c>
    </row>
    <row r="51" spans="1:12" ht="24" x14ac:dyDescent="0.4">
      <c r="A51" s="103" t="s">
        <v>138</v>
      </c>
      <c r="B51" s="133"/>
      <c r="C51" s="59">
        <f>AVERAGE(C43:L43)</f>
        <v>250986.09285714285</v>
      </c>
    </row>
  </sheetData>
  <mergeCells count="20">
    <mergeCell ref="A50:B50"/>
    <mergeCell ref="A51:B51"/>
    <mergeCell ref="A44:B44"/>
    <mergeCell ref="A45:B45"/>
    <mergeCell ref="A46:B46"/>
    <mergeCell ref="A47:B47"/>
    <mergeCell ref="A48:B48"/>
    <mergeCell ref="A49:B49"/>
    <mergeCell ref="A43:B43"/>
    <mergeCell ref="B1:L1"/>
    <mergeCell ref="A17:B17"/>
    <mergeCell ref="A18:B18"/>
    <mergeCell ref="A19:B19"/>
    <mergeCell ref="A20:B20"/>
    <mergeCell ref="A21:B21"/>
    <mergeCell ref="A22:B22"/>
    <mergeCell ref="A23:B23"/>
    <mergeCell ref="A24:B24"/>
    <mergeCell ref="A25:B25"/>
    <mergeCell ref="B27:L27"/>
  </mergeCells>
  <conditionalFormatting sqref="C3:L16">
    <cfRule type="dataBar" priority="1">
      <dataBar>
        <cfvo type="min"/>
        <cfvo type="max"/>
        <color rgb="FFFFB628"/>
      </dataBar>
      <extLst>
        <ext xmlns:x14="http://schemas.microsoft.com/office/spreadsheetml/2009/9/main" uri="{B025F937-C7B1-47D3-B67F-A62EFF666E3E}">
          <x14:id>{D3A80DAC-CF4C-4CFD-9B0E-F46BBF2E6A96}</x14:id>
        </ext>
      </extLst>
    </cfRule>
  </conditionalFormatting>
  <conditionalFormatting sqref="C29:L42">
    <cfRule type="dataBar" priority="2">
      <dataBar>
        <cfvo type="min"/>
        <cfvo type="max"/>
        <color rgb="FF638EC6"/>
      </dataBar>
      <extLst>
        <ext xmlns:x14="http://schemas.microsoft.com/office/spreadsheetml/2009/9/main" uri="{B025F937-C7B1-47D3-B67F-A62EFF666E3E}">
          <x14:id>{D5A08865-FB6F-4A06-ADC9-A942E65E7D14}</x14:id>
        </ext>
      </extLst>
    </cfRule>
  </conditionalFormatting>
  <pageMargins left="0.7" right="0.7" top="0.75" bottom="0.75" header="0.3" footer="0.3"/>
  <pageSetup paperSize="9" orientation="portrait" r:id="rId1"/>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D3A80DAC-CF4C-4CFD-9B0E-F46BBF2E6A96}">
            <x14:dataBar minLength="0" maxLength="100" border="1" negativeBarBorderColorSameAsPositive="0">
              <x14:cfvo type="autoMin"/>
              <x14:cfvo type="autoMax"/>
              <x14:borderColor rgb="FFFFB628"/>
              <x14:negativeFillColor rgb="FFFF0000"/>
              <x14:negativeBorderColor rgb="FFFF0000"/>
              <x14:axisColor rgb="FF000000"/>
            </x14:dataBar>
          </x14:cfRule>
          <xm:sqref>C3:L16</xm:sqref>
        </x14:conditionalFormatting>
        <x14:conditionalFormatting xmlns:xm="http://schemas.microsoft.com/office/excel/2006/main">
          <x14:cfRule type="dataBar" id="{D5A08865-FB6F-4A06-ADC9-A942E65E7D14}">
            <x14:dataBar minLength="0" maxLength="100" gradient="0">
              <x14:cfvo type="autoMin"/>
              <x14:cfvo type="autoMax"/>
              <x14:negativeFillColor rgb="FFFF0000"/>
              <x14:axisColor rgb="FF000000"/>
            </x14:dataBar>
          </x14:cfRule>
          <xm:sqref>C29:L42</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D441-8DAC-4F1D-A915-C4D0220E33C6}">
  <dimension ref="A1:F56"/>
  <sheetViews>
    <sheetView zoomScaleNormal="100" workbookViewId="0">
      <selection activeCell="A12" sqref="A12"/>
    </sheetView>
  </sheetViews>
  <sheetFormatPr defaultColWidth="8.85546875" defaultRowHeight="15" x14ac:dyDescent="0.25"/>
  <cols>
    <col min="1" max="1" width="10.7109375" style="1" customWidth="1"/>
    <col min="2" max="2" width="40.7109375" style="3" customWidth="1"/>
    <col min="3" max="6" width="15.7109375" style="1" customWidth="1"/>
    <col min="7" max="16384" width="8.85546875" style="1"/>
  </cols>
  <sheetData>
    <row r="1" spans="1:6" ht="26.25" customHeight="1" x14ac:dyDescent="0.25">
      <c r="B1" s="108" t="s">
        <v>137</v>
      </c>
      <c r="C1" s="108"/>
      <c r="D1" s="108"/>
      <c r="E1" s="108"/>
      <c r="F1" s="108"/>
    </row>
    <row r="2" spans="1:6" ht="60" x14ac:dyDescent="0.25">
      <c r="B2" s="14" t="s">
        <v>0</v>
      </c>
      <c r="C2" s="2" t="s">
        <v>173</v>
      </c>
      <c r="D2" s="2" t="s">
        <v>174</v>
      </c>
      <c r="E2" s="2" t="s">
        <v>175</v>
      </c>
      <c r="F2" s="2" t="s">
        <v>176</v>
      </c>
    </row>
    <row r="3" spans="1:6" x14ac:dyDescent="0.25">
      <c r="B3" s="89" t="s">
        <v>153</v>
      </c>
      <c r="C3" s="90">
        <v>2.5783021143918985E-4</v>
      </c>
      <c r="D3" s="90">
        <v>2.683588835982078E-3</v>
      </c>
      <c r="E3" s="90">
        <v>1.5870356065640853E-3</v>
      </c>
      <c r="F3" s="91">
        <v>553253</v>
      </c>
    </row>
    <row r="4" spans="1:6" x14ac:dyDescent="0.25">
      <c r="B4" s="89" t="s">
        <v>154</v>
      </c>
      <c r="C4" s="90">
        <v>5.6602298789217922E-3</v>
      </c>
      <c r="D4" s="90">
        <v>8.0721339630742808E-2</v>
      </c>
      <c r="E4" s="90">
        <v>2.9470871978133313E-2</v>
      </c>
      <c r="F4" s="91">
        <v>523247.05</v>
      </c>
    </row>
    <row r="5" spans="1:6" x14ac:dyDescent="0.25">
      <c r="B5" s="89" t="s">
        <v>155</v>
      </c>
      <c r="C5" s="90">
        <v>3.5970607230953189E-2</v>
      </c>
      <c r="D5" s="90">
        <v>5.1565187832840614E-2</v>
      </c>
      <c r="E5" s="90">
        <v>4.5096458223425839E-2</v>
      </c>
      <c r="F5" s="91">
        <v>400658.6875</v>
      </c>
    </row>
    <row r="6" spans="1:6" x14ac:dyDescent="0.25">
      <c r="B6" s="89" t="s">
        <v>156</v>
      </c>
      <c r="C6" s="90">
        <v>0.14625951180946734</v>
      </c>
      <c r="D6" s="90">
        <v>0.28496244956271599</v>
      </c>
      <c r="E6" s="90">
        <v>0.22903793286774046</v>
      </c>
      <c r="F6" s="91">
        <v>322129.54000000004</v>
      </c>
    </row>
    <row r="7" spans="1:6" ht="15.75" thickBot="1" x14ac:dyDescent="0.3">
      <c r="B7" s="97" t="s">
        <v>157</v>
      </c>
      <c r="C7" s="98">
        <v>0.13810400601756354</v>
      </c>
      <c r="D7" s="98">
        <v>0.28984137242513541</v>
      </c>
      <c r="E7" s="98">
        <v>0.23706818137060512</v>
      </c>
      <c r="F7" s="99">
        <v>233599.98571428572</v>
      </c>
    </row>
    <row r="8" spans="1:6" x14ac:dyDescent="0.25">
      <c r="B8" s="89" t="s">
        <v>158</v>
      </c>
      <c r="C8" s="90">
        <v>2.0767268148284888E-4</v>
      </c>
      <c r="D8" s="90">
        <v>4.2698174122277862E-3</v>
      </c>
      <c r="E8" s="90">
        <v>1.9364333505224583E-3</v>
      </c>
      <c r="F8" s="91">
        <v>599041.30000000005</v>
      </c>
    </row>
    <row r="9" spans="1:6" x14ac:dyDescent="0.25">
      <c r="B9" s="89" t="s">
        <v>159</v>
      </c>
      <c r="C9" s="90">
        <v>1.0218692340874407E-2</v>
      </c>
      <c r="D9" s="90">
        <v>6.7044173480362304E-2</v>
      </c>
      <c r="E9" s="90">
        <v>2.7250207031720642E-2</v>
      </c>
      <c r="F9" s="91">
        <v>555325.1</v>
      </c>
    </row>
    <row r="10" spans="1:6" x14ac:dyDescent="0.25">
      <c r="B10" s="89" t="s">
        <v>160</v>
      </c>
      <c r="C10" s="90">
        <v>4.0084283881296277E-2</v>
      </c>
      <c r="D10" s="90">
        <v>5.9122182340958535E-2</v>
      </c>
      <c r="E10" s="90">
        <v>4.8110207007041078E-2</v>
      </c>
      <c r="F10" s="91">
        <v>434722.07500000001</v>
      </c>
    </row>
    <row r="11" spans="1:6" x14ac:dyDescent="0.25">
      <c r="B11" s="89" t="s">
        <v>161</v>
      </c>
      <c r="C11" s="90">
        <v>0.16381005300051291</v>
      </c>
      <c r="D11" s="90">
        <v>0.37688617439452216</v>
      </c>
      <c r="E11" s="90">
        <v>0.25049740570195478</v>
      </c>
      <c r="F11" s="91">
        <v>352579.54</v>
      </c>
    </row>
    <row r="12" spans="1:6" ht="15.75" thickBot="1" x14ac:dyDescent="0.3">
      <c r="B12" s="97" t="s">
        <v>162</v>
      </c>
      <c r="C12" s="98">
        <v>0.17954395284624708</v>
      </c>
      <c r="D12" s="98">
        <v>0.28404667499502112</v>
      </c>
      <c r="E12" s="98">
        <v>0.22741905784969174</v>
      </c>
      <c r="F12" s="99">
        <v>252633.45714285714</v>
      </c>
    </row>
    <row r="13" spans="1:6" x14ac:dyDescent="0.25">
      <c r="B13" s="89" t="s">
        <v>163</v>
      </c>
      <c r="C13" s="90">
        <v>5.0005000500050007E-5</v>
      </c>
      <c r="D13" s="90">
        <v>2.0677968591078164E-2</v>
      </c>
      <c r="E13" s="90">
        <v>8.2222174824533555E-3</v>
      </c>
      <c r="F13" s="91">
        <v>554904.5</v>
      </c>
    </row>
    <row r="14" spans="1:6" x14ac:dyDescent="0.25">
      <c r="B14" s="89" t="s">
        <v>164</v>
      </c>
      <c r="C14" s="90">
        <v>1.134667122840303E-2</v>
      </c>
      <c r="D14" s="90">
        <v>4.2908014796547475E-2</v>
      </c>
      <c r="E14" s="90">
        <v>2.5373805558158314E-2</v>
      </c>
      <c r="F14" s="91">
        <v>516245.67499999999</v>
      </c>
    </row>
    <row r="15" spans="1:6" x14ac:dyDescent="0.25">
      <c r="A15" s="9"/>
      <c r="B15" s="92" t="s">
        <v>169</v>
      </c>
      <c r="C15" s="95">
        <v>2.7213303736770458E-2</v>
      </c>
      <c r="D15" s="93">
        <v>5.1450938392492859E-2</v>
      </c>
      <c r="E15" s="93">
        <v>3.9431310765838556E-2</v>
      </c>
      <c r="F15" s="94">
        <v>407304.33750000002</v>
      </c>
    </row>
    <row r="16" spans="1:6" x14ac:dyDescent="0.25">
      <c r="A16" s="9"/>
      <c r="B16" s="92" t="s">
        <v>165</v>
      </c>
      <c r="C16" s="96">
        <v>0.13963253171157872</v>
      </c>
      <c r="D16" s="90">
        <v>0.35427893741678756</v>
      </c>
      <c r="E16" s="90">
        <v>0.21379812048626246</v>
      </c>
      <c r="F16" s="91">
        <v>333507.29999999993</v>
      </c>
    </row>
    <row r="17" spans="1:6" ht="15.75" thickBot="1" x14ac:dyDescent="0.3">
      <c r="A17" s="9"/>
      <c r="B17" s="97" t="s">
        <v>171</v>
      </c>
      <c r="C17" s="98">
        <v>0.1887754127178233</v>
      </c>
      <c r="D17" s="98">
        <v>0.34030815867563619</v>
      </c>
      <c r="E17" s="98">
        <v>0.25049714640160053</v>
      </c>
      <c r="F17" s="99">
        <v>232590.4214285714</v>
      </c>
    </row>
    <row r="18" spans="1:6" x14ac:dyDescent="0.25">
      <c r="A18" s="9"/>
      <c r="B18" s="92" t="s">
        <v>166</v>
      </c>
      <c r="C18" s="96">
        <v>3.6232187937700766E-4</v>
      </c>
      <c r="D18" s="90">
        <v>9.2563178847336648E-3</v>
      </c>
      <c r="E18" s="90">
        <v>2.8745809030297918E-3</v>
      </c>
      <c r="F18" s="91">
        <v>598500.05000000005</v>
      </c>
    </row>
    <row r="19" spans="1:6" x14ac:dyDescent="0.25">
      <c r="A19" s="9"/>
      <c r="B19" s="92" t="s">
        <v>167</v>
      </c>
      <c r="C19" s="96">
        <v>8.085121085872133E-3</v>
      </c>
      <c r="D19" s="90">
        <v>2.0153208515833874E-2</v>
      </c>
      <c r="E19" s="90">
        <v>1.5701552268523631E-2</v>
      </c>
      <c r="F19" s="91">
        <v>550682.4</v>
      </c>
    </row>
    <row r="20" spans="1:6" x14ac:dyDescent="0.25">
      <c r="A20" s="9"/>
      <c r="B20" s="89" t="s">
        <v>170</v>
      </c>
      <c r="C20" s="90">
        <v>2.887777489443016E-2</v>
      </c>
      <c r="D20" s="90">
        <v>5.723171162681117E-2</v>
      </c>
      <c r="E20" s="90">
        <v>4.2710127983835791E-2</v>
      </c>
      <c r="F20" s="91">
        <v>436758.15</v>
      </c>
    </row>
    <row r="21" spans="1:6" x14ac:dyDescent="0.25">
      <c r="A21" s="9"/>
      <c r="B21" s="89" t="s">
        <v>168</v>
      </c>
      <c r="C21" s="90">
        <v>0.13469041906403598</v>
      </c>
      <c r="D21" s="90">
        <v>0.31256794732415744</v>
      </c>
      <c r="E21" s="90">
        <v>0.21009178729995362</v>
      </c>
      <c r="F21" s="91">
        <v>353275.04</v>
      </c>
    </row>
    <row r="22" spans="1:6" x14ac:dyDescent="0.25">
      <c r="A22" s="9"/>
      <c r="B22" s="89" t="s">
        <v>172</v>
      </c>
      <c r="C22" s="90">
        <v>0.18460770049295316</v>
      </c>
      <c r="D22" s="90">
        <v>0.33646797882987262</v>
      </c>
      <c r="E22" s="90">
        <v>0.24613451487885868</v>
      </c>
      <c r="F22" s="91">
        <v>250986.09285714285</v>
      </c>
    </row>
    <row r="23" spans="1:6" x14ac:dyDescent="0.25">
      <c r="A23" s="9"/>
      <c r="B23" s="9"/>
      <c r="C23" s="9"/>
      <c r="D23" s="9"/>
      <c r="E23" s="9"/>
      <c r="F23" s="9"/>
    </row>
    <row r="24" spans="1:6" x14ac:dyDescent="0.25">
      <c r="A24" s="9"/>
      <c r="B24" s="9"/>
      <c r="C24" s="9"/>
      <c r="D24" s="9"/>
      <c r="E24" s="9"/>
      <c r="F24" s="9"/>
    </row>
    <row r="25" spans="1:6" x14ac:dyDescent="0.25">
      <c r="A25" s="9"/>
      <c r="B25" s="9"/>
      <c r="C25" s="9"/>
      <c r="D25" s="9"/>
      <c r="E25" s="9"/>
      <c r="F25" s="9"/>
    </row>
    <row r="26" spans="1:6" x14ac:dyDescent="0.25">
      <c r="A26" s="9"/>
      <c r="B26" s="9"/>
      <c r="C26" s="9"/>
      <c r="D26" s="9"/>
      <c r="E26" s="9"/>
      <c r="F26" s="9"/>
    </row>
    <row r="27" spans="1:6" x14ac:dyDescent="0.25">
      <c r="A27" s="9"/>
      <c r="B27" s="9"/>
      <c r="C27" s="9"/>
      <c r="D27" s="9"/>
      <c r="E27" s="9"/>
      <c r="F27" s="9"/>
    </row>
    <row r="28" spans="1:6" x14ac:dyDescent="0.25">
      <c r="A28" s="9"/>
      <c r="B28" s="9"/>
      <c r="C28" s="9"/>
      <c r="D28" s="9"/>
      <c r="E28" s="9"/>
      <c r="F28" s="9"/>
    </row>
    <row r="29" spans="1:6" x14ac:dyDescent="0.25">
      <c r="A29" s="9"/>
      <c r="B29" s="9"/>
      <c r="C29" s="9"/>
      <c r="D29" s="9"/>
      <c r="E29" s="9"/>
      <c r="F29" s="9"/>
    </row>
    <row r="30" spans="1:6" x14ac:dyDescent="0.25">
      <c r="A30" s="9"/>
      <c r="B30" s="9"/>
      <c r="C30" s="9"/>
      <c r="D30" s="9"/>
      <c r="E30" s="9"/>
      <c r="F30" s="9"/>
    </row>
    <row r="31" spans="1:6" x14ac:dyDescent="0.25">
      <c r="A31" s="9"/>
      <c r="B31" s="9"/>
      <c r="C31" s="9"/>
      <c r="D31" s="9"/>
      <c r="E31" s="9"/>
      <c r="F31" s="9"/>
    </row>
    <row r="32" spans="1:6" x14ac:dyDescent="0.25">
      <c r="A32" s="9"/>
      <c r="B32" s="9"/>
      <c r="C32" s="9"/>
      <c r="D32" s="9"/>
      <c r="E32" s="9"/>
      <c r="F32" s="9"/>
    </row>
    <row r="33" spans="1:6" x14ac:dyDescent="0.25">
      <c r="A33" s="9"/>
      <c r="B33" s="9"/>
      <c r="C33" s="9"/>
      <c r="D33" s="9"/>
      <c r="E33" s="9"/>
      <c r="F33" s="9"/>
    </row>
    <row r="34" spans="1:6" x14ac:dyDescent="0.25">
      <c r="A34" s="9"/>
      <c r="B34" s="9"/>
      <c r="C34" s="9"/>
      <c r="D34" s="9"/>
      <c r="E34" s="9"/>
      <c r="F34" s="9"/>
    </row>
    <row r="35" spans="1:6" x14ac:dyDescent="0.25">
      <c r="A35" s="9"/>
      <c r="B35" s="9"/>
      <c r="C35" s="9"/>
      <c r="D35" s="9"/>
      <c r="E35" s="9"/>
      <c r="F35" s="9"/>
    </row>
    <row r="36" spans="1:6" x14ac:dyDescent="0.25">
      <c r="A36" s="9"/>
      <c r="B36" s="9"/>
      <c r="C36" s="9"/>
      <c r="D36" s="9"/>
      <c r="E36" s="9"/>
      <c r="F36" s="9"/>
    </row>
    <row r="37" spans="1:6" x14ac:dyDescent="0.25">
      <c r="A37" s="9"/>
      <c r="B37" s="9"/>
      <c r="C37" s="9"/>
      <c r="D37" s="9"/>
      <c r="E37" s="9"/>
      <c r="F37" s="9"/>
    </row>
    <row r="38" spans="1:6" x14ac:dyDescent="0.25">
      <c r="A38" s="9"/>
      <c r="B38" s="9"/>
      <c r="C38" s="9"/>
      <c r="D38" s="9"/>
      <c r="E38" s="9"/>
      <c r="F38" s="9"/>
    </row>
    <row r="39" spans="1:6" x14ac:dyDescent="0.25">
      <c r="A39" s="9"/>
      <c r="B39" s="9"/>
      <c r="C39" s="9"/>
      <c r="D39" s="9"/>
      <c r="E39" s="9"/>
      <c r="F39" s="9"/>
    </row>
    <row r="40" spans="1:6" x14ac:dyDescent="0.25">
      <c r="A40" s="9"/>
      <c r="B40" s="9"/>
      <c r="C40" s="9"/>
      <c r="D40" s="9"/>
      <c r="E40" s="9"/>
      <c r="F40" s="9"/>
    </row>
    <row r="41" spans="1:6" x14ac:dyDescent="0.25">
      <c r="A41" s="9"/>
      <c r="B41" s="9"/>
      <c r="C41" s="9"/>
      <c r="D41" s="9"/>
      <c r="E41" s="9"/>
      <c r="F41" s="9"/>
    </row>
    <row r="42" spans="1:6" x14ac:dyDescent="0.25">
      <c r="A42" s="9"/>
      <c r="B42" s="9"/>
      <c r="C42" s="9"/>
      <c r="D42" s="9"/>
      <c r="E42" s="9"/>
      <c r="F42" s="9"/>
    </row>
    <row r="43" spans="1:6" x14ac:dyDescent="0.25">
      <c r="A43" s="9"/>
      <c r="B43" s="9"/>
      <c r="C43" s="9"/>
      <c r="D43" s="9"/>
      <c r="E43" s="9"/>
      <c r="F43" s="9"/>
    </row>
    <row r="44" spans="1:6" x14ac:dyDescent="0.25">
      <c r="A44" s="9"/>
      <c r="B44" s="9"/>
      <c r="C44" s="9"/>
      <c r="D44" s="9"/>
      <c r="E44" s="9"/>
      <c r="F44" s="9"/>
    </row>
    <row r="45" spans="1:6" x14ac:dyDescent="0.25">
      <c r="A45" s="9"/>
      <c r="B45" s="9"/>
      <c r="C45" s="9"/>
      <c r="D45" s="9"/>
      <c r="E45" s="9"/>
      <c r="F45" s="9"/>
    </row>
    <row r="46" spans="1:6" x14ac:dyDescent="0.25">
      <c r="A46" s="9"/>
      <c r="B46" s="9"/>
      <c r="C46" s="9"/>
      <c r="D46" s="9"/>
      <c r="E46" s="9"/>
      <c r="F46" s="9"/>
    </row>
    <row r="47" spans="1:6" x14ac:dyDescent="0.25">
      <c r="A47" s="9"/>
      <c r="B47" s="9"/>
      <c r="C47" s="9"/>
      <c r="D47" s="9"/>
      <c r="E47" s="9"/>
      <c r="F47" s="9"/>
    </row>
    <row r="48" spans="1:6" x14ac:dyDescent="0.25">
      <c r="A48" s="9"/>
      <c r="B48" s="9"/>
      <c r="C48" s="9"/>
      <c r="D48" s="9"/>
      <c r="E48" s="9"/>
      <c r="F48" s="9"/>
    </row>
    <row r="49" spans="1:6" x14ac:dyDescent="0.25">
      <c r="A49" s="9"/>
      <c r="B49" s="9"/>
      <c r="C49" s="9"/>
      <c r="D49" s="9"/>
      <c r="E49" s="9"/>
      <c r="F49" s="9"/>
    </row>
    <row r="50" spans="1:6" x14ac:dyDescent="0.25">
      <c r="A50" s="9"/>
      <c r="B50" s="9"/>
      <c r="C50" s="9"/>
      <c r="D50" s="9"/>
      <c r="E50" s="9"/>
      <c r="F50" s="9"/>
    </row>
    <row r="51" spans="1:6" x14ac:dyDescent="0.25">
      <c r="A51" s="9"/>
      <c r="B51" s="9"/>
      <c r="C51" s="9"/>
      <c r="D51" s="9"/>
      <c r="E51" s="9"/>
      <c r="F51" s="9"/>
    </row>
    <row r="52" spans="1:6" x14ac:dyDescent="0.25">
      <c r="A52" s="9"/>
      <c r="B52" s="9"/>
      <c r="C52" s="9"/>
      <c r="D52" s="9"/>
      <c r="E52" s="9"/>
      <c r="F52" s="9"/>
    </row>
    <row r="53" spans="1:6" x14ac:dyDescent="0.25">
      <c r="A53" s="9"/>
      <c r="B53" s="9"/>
      <c r="C53" s="9"/>
      <c r="D53" s="9"/>
      <c r="E53" s="9"/>
      <c r="F53" s="9"/>
    </row>
    <row r="54" spans="1:6" x14ac:dyDescent="0.25">
      <c r="A54" s="9"/>
      <c r="B54" s="9"/>
      <c r="C54" s="9"/>
      <c r="D54" s="9"/>
      <c r="E54" s="9"/>
      <c r="F54" s="9"/>
    </row>
    <row r="55" spans="1:6" x14ac:dyDescent="0.25">
      <c r="A55" s="9"/>
      <c r="B55" s="9"/>
      <c r="C55" s="9"/>
      <c r="D55" s="9"/>
      <c r="E55" s="9"/>
      <c r="F55" s="9"/>
    </row>
    <row r="56" spans="1:6" x14ac:dyDescent="0.25">
      <c r="A56" s="9"/>
      <c r="B56" s="9"/>
      <c r="C56" s="9"/>
      <c r="D56" s="9"/>
      <c r="E56" s="9"/>
      <c r="F56" s="9"/>
    </row>
  </sheetData>
  <mergeCells count="1">
    <mergeCell ref="B1:F1"/>
  </mergeCells>
  <pageMargins left="0.7" right="0.7" top="0.75" bottom="0.75" header="0.3" footer="0.3"/>
  <pageSetup paperSize="9" orientation="portrait" r:id="rId1"/>
  <drawing r:id="rId2"/>
  <tableParts count="1">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FA61A-85D7-428D-B9E0-3693E79BFDEF}">
  <dimension ref="A1:E14"/>
  <sheetViews>
    <sheetView zoomScaleNormal="100" workbookViewId="0">
      <selection activeCell="F18" sqref="F18"/>
    </sheetView>
  </sheetViews>
  <sheetFormatPr defaultColWidth="8.85546875" defaultRowHeight="15" x14ac:dyDescent="0.25"/>
  <cols>
    <col min="1" max="1" width="60.7109375" style="1" customWidth="1"/>
    <col min="2" max="2" width="10.7109375" style="3" customWidth="1"/>
    <col min="3" max="4" width="20.7109375" style="3" customWidth="1"/>
    <col min="5" max="8" width="20.7109375" style="1" customWidth="1"/>
    <col min="9" max="16384" width="8.85546875" style="1"/>
  </cols>
  <sheetData>
    <row r="1" spans="1:5" ht="26.25" customHeight="1" x14ac:dyDescent="0.25">
      <c r="B1" s="108" t="s">
        <v>177</v>
      </c>
      <c r="C1" s="108"/>
      <c r="D1" s="108"/>
      <c r="E1" s="108"/>
    </row>
    <row r="2" spans="1:5" ht="45" x14ac:dyDescent="0.25">
      <c r="B2" s="2" t="s">
        <v>0</v>
      </c>
      <c r="C2" s="2" t="s">
        <v>178</v>
      </c>
      <c r="D2" s="2" t="s">
        <v>179</v>
      </c>
      <c r="E2" s="2" t="s">
        <v>180</v>
      </c>
    </row>
    <row r="3" spans="1:5" x14ac:dyDescent="0.25">
      <c r="B3" s="4">
        <v>1</v>
      </c>
      <c r="C3" s="5">
        <v>0.70019600000000004</v>
      </c>
      <c r="D3" s="8">
        <v>0.67532800000000004</v>
      </c>
      <c r="E3" s="8">
        <v>0.68404100000000001</v>
      </c>
    </row>
    <row r="4" spans="1:5" x14ac:dyDescent="0.25">
      <c r="B4" s="4">
        <v>2</v>
      </c>
      <c r="C4" s="5">
        <v>0.72883699999999996</v>
      </c>
      <c r="D4" s="8">
        <v>0.67557900000000004</v>
      </c>
      <c r="E4" s="8">
        <v>0.67751899999999998</v>
      </c>
    </row>
    <row r="5" spans="1:5" x14ac:dyDescent="0.25">
      <c r="B5" s="4">
        <v>3</v>
      </c>
      <c r="C5" s="5">
        <v>0.69557599999999997</v>
      </c>
      <c r="D5" s="8">
        <v>0.67075300000000004</v>
      </c>
      <c r="E5" s="8">
        <v>0.66495099999999996</v>
      </c>
    </row>
    <row r="6" spans="1:5" x14ac:dyDescent="0.25">
      <c r="B6" s="4">
        <v>4</v>
      </c>
      <c r="C6" s="5">
        <v>0.70225000000000004</v>
      </c>
      <c r="D6" s="8">
        <v>0.67851499999999998</v>
      </c>
      <c r="E6" s="8">
        <v>0.666821</v>
      </c>
    </row>
    <row r="7" spans="1:5" x14ac:dyDescent="0.25">
      <c r="B7" s="4">
        <v>5</v>
      </c>
      <c r="C7" s="5">
        <v>0.72843400000000003</v>
      </c>
      <c r="D7" s="8">
        <v>0.67303000000000002</v>
      </c>
      <c r="E7" s="8">
        <v>0.67801800000000001</v>
      </c>
    </row>
    <row r="8" spans="1:5" ht="24" x14ac:dyDescent="0.4">
      <c r="A8" s="103" t="s">
        <v>32</v>
      </c>
      <c r="B8" s="103"/>
      <c r="C8" s="6">
        <f>AVERAGE(Table14567822[Time to run 1M calls of subroutine VIs (seconds)])</f>
        <v>0.71105859999999999</v>
      </c>
      <c r="D8" s="6">
        <f>AVERAGE(Table14567822[Time to run 1M calls of inline VIs (seconds)])</f>
        <v>0.67464100000000005</v>
      </c>
      <c r="E8" s="6">
        <f>AVERAGE(Table14567822[Time to run 1M calls of subroutine and inline VIs (seconds)])</f>
        <v>0.67426999999999992</v>
      </c>
    </row>
    <row r="9" spans="1:5" ht="24" x14ac:dyDescent="0.4">
      <c r="A9" s="103" t="s">
        <v>33</v>
      </c>
      <c r="B9" s="103"/>
      <c r="C9" s="6">
        <f>C8*1000000/1000000</f>
        <v>0.71105859999999999</v>
      </c>
      <c r="D9" s="6">
        <f>D8*1000000/1000000</f>
        <v>0.67464100000000005</v>
      </c>
      <c r="E9" s="6">
        <f>E8*1000000/1000000</f>
        <v>0.67426999999999992</v>
      </c>
    </row>
    <row r="10" spans="1:5" ht="24" x14ac:dyDescent="0.4">
      <c r="A10" s="103" t="s">
        <v>181</v>
      </c>
      <c r="B10" s="103"/>
      <c r="C10" s="17" t="s">
        <v>20</v>
      </c>
      <c r="D10" s="22">
        <f>D9-C9</f>
        <v>-3.6417599999999939E-2</v>
      </c>
      <c r="E10" s="22">
        <f>E9-C9</f>
        <v>-3.678860000000006E-2</v>
      </c>
    </row>
    <row r="11" spans="1:5" ht="26.25" customHeight="1" x14ac:dyDescent="0.4">
      <c r="A11" s="103" t="s">
        <v>182</v>
      </c>
      <c r="B11" s="103"/>
      <c r="C11" s="17" t="s">
        <v>20</v>
      </c>
      <c r="D11" s="22">
        <f>D10*1000</f>
        <v>-36.417599999999936</v>
      </c>
      <c r="E11" s="22">
        <f>E10*1000</f>
        <v>-36.788600000000059</v>
      </c>
    </row>
    <row r="12" spans="1:5" ht="24" x14ac:dyDescent="0.4">
      <c r="A12" s="102" t="s">
        <v>29</v>
      </c>
      <c r="B12" s="102"/>
      <c r="C12" s="7">
        <f>C9*1000*'Machine Details'!$B$3</f>
        <v>2133.1758</v>
      </c>
      <c r="D12" s="7">
        <f>D9*1000*'Machine Details'!$B$3</f>
        <v>2023.9230000000002</v>
      </c>
      <c r="E12" s="7">
        <f>E9*1000*'Machine Details'!$B$3</f>
        <v>2022.81</v>
      </c>
    </row>
    <row r="13" spans="1:5" ht="46.5" x14ac:dyDescent="0.25">
      <c r="A13" s="102" t="s">
        <v>30</v>
      </c>
      <c r="B13" s="102"/>
      <c r="C13" s="17" t="s">
        <v>20</v>
      </c>
      <c r="D13" s="23">
        <f>ROUND($C$12,0)-ROUND(D12,0)</f>
        <v>109</v>
      </c>
      <c r="E13" s="23">
        <f>ROUND($C$12,0)-ROUND(E12,0)</f>
        <v>110</v>
      </c>
    </row>
    <row r="14" spans="1:5" ht="46.5" x14ac:dyDescent="0.25">
      <c r="A14" s="102" t="s">
        <v>31</v>
      </c>
      <c r="B14" s="102"/>
      <c r="C14" s="17" t="s">
        <v>20</v>
      </c>
      <c r="D14" s="100">
        <f>D13/$C$12</f>
        <v>5.1097523232731215E-2</v>
      </c>
      <c r="E14" s="101">
        <f>E13/$C$12</f>
        <v>5.1566307849545266E-2</v>
      </c>
    </row>
  </sheetData>
  <mergeCells count="8">
    <mergeCell ref="A13:B13"/>
    <mergeCell ref="A14:B14"/>
    <mergeCell ref="B1:E1"/>
    <mergeCell ref="A8:B8"/>
    <mergeCell ref="A9:B9"/>
    <mergeCell ref="A10:B10"/>
    <mergeCell ref="A11:B11"/>
    <mergeCell ref="A12:B12"/>
  </mergeCells>
  <pageMargins left="0.7" right="0.7" top="0.75" bottom="0.75" header="0.3" footer="0.3"/>
  <pageSetup paperSize="9" orientation="portrait" r:id="rId1"/>
  <drawing r:id="rId2"/>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EAC4A-5C2B-481A-AB86-55FDEA0D9B0E}">
  <dimension ref="A1:D30"/>
  <sheetViews>
    <sheetView workbookViewId="0">
      <selection activeCell="C22" sqref="C22"/>
    </sheetView>
  </sheetViews>
  <sheetFormatPr defaultRowHeight="15" x14ac:dyDescent="0.25"/>
  <cols>
    <col min="1" max="3" width="20.7109375" customWidth="1"/>
    <col min="4" max="4" width="21.85546875" customWidth="1"/>
  </cols>
  <sheetData>
    <row r="1" spans="1:4" x14ac:dyDescent="0.25">
      <c r="A1" s="42">
        <v>4.050332</v>
      </c>
      <c r="B1" s="42">
        <v>3.7069109999999998</v>
      </c>
      <c r="C1" s="42">
        <v>3.4945900000000001</v>
      </c>
    </row>
    <row r="2" spans="1:4" x14ac:dyDescent="0.25">
      <c r="A2" s="42">
        <v>3.6405799999999999</v>
      </c>
      <c r="B2" s="42">
        <v>3.3944130000000001</v>
      </c>
      <c r="C2" s="42">
        <v>3.6803059999999999</v>
      </c>
    </row>
    <row r="3" spans="1:4" x14ac:dyDescent="0.25">
      <c r="A3" s="42">
        <v>3.6363439999999998</v>
      </c>
      <c r="B3" s="42">
        <v>3.3641079999999999</v>
      </c>
      <c r="C3" s="42">
        <v>3.6175459999999999</v>
      </c>
    </row>
    <row r="4" spans="1:4" x14ac:dyDescent="0.25">
      <c r="A4" s="42">
        <v>3.6734260000000001</v>
      </c>
      <c r="B4" s="42">
        <v>3.3970060000000002</v>
      </c>
      <c r="C4" s="42">
        <v>3.6556540000000002</v>
      </c>
    </row>
    <row r="5" spans="1:4" x14ac:dyDescent="0.25">
      <c r="A5" s="42">
        <v>3.6943860000000002</v>
      </c>
      <c r="B5" s="42">
        <v>3.5971899999999999</v>
      </c>
      <c r="C5" s="42">
        <v>3.54359</v>
      </c>
    </row>
    <row r="6" spans="1:4" ht="18.75" x14ac:dyDescent="0.3">
      <c r="A6" s="43">
        <f>AVERAGE(A1:A5)</f>
        <v>3.7390136000000007</v>
      </c>
      <c r="B6" s="43">
        <f t="shared" ref="B6:C6" si="0">AVERAGE(B1:B5)</f>
        <v>3.4919256000000005</v>
      </c>
      <c r="C6" s="43">
        <f t="shared" si="0"/>
        <v>3.5983372000000005</v>
      </c>
    </row>
    <row r="7" spans="1:4" ht="18.75" x14ac:dyDescent="0.3">
      <c r="A7" s="42"/>
      <c r="B7" s="44">
        <f>(B6-A6)/A6</f>
        <v>-6.6083739304933303E-2</v>
      </c>
      <c r="C7" s="44">
        <f>(C6-A6)/A6</f>
        <v>-3.7623933756218544E-2</v>
      </c>
      <c r="D7" t="s">
        <v>61</v>
      </c>
    </row>
    <row r="8" spans="1:4" ht="18.75" x14ac:dyDescent="0.3">
      <c r="A8" s="42"/>
      <c r="B8" s="42"/>
      <c r="C8" s="44">
        <f>(C6-B6)/B6</f>
        <v>3.0473616047260548E-2</v>
      </c>
      <c r="D8" t="s">
        <v>62</v>
      </c>
    </row>
    <row r="9" spans="1:4" x14ac:dyDescent="0.25">
      <c r="A9" s="42"/>
      <c r="B9" s="42"/>
      <c r="C9" s="42"/>
    </row>
    <row r="10" spans="1:4" x14ac:dyDescent="0.25">
      <c r="A10" s="42"/>
      <c r="B10" s="42"/>
      <c r="C10" s="42">
        <v>3.7413162</v>
      </c>
    </row>
    <row r="11" spans="1:4" x14ac:dyDescent="0.25">
      <c r="A11" s="42"/>
      <c r="B11" s="42"/>
      <c r="C11" s="42"/>
    </row>
    <row r="12" spans="1:4" x14ac:dyDescent="0.25">
      <c r="A12" s="42"/>
      <c r="B12" s="42"/>
      <c r="C12" s="42">
        <v>3.4945900000000001</v>
      </c>
    </row>
    <row r="13" spans="1:4" x14ac:dyDescent="0.25">
      <c r="A13" s="42"/>
      <c r="B13" s="42"/>
      <c r="C13" s="42">
        <v>3.6803059999999999</v>
      </c>
    </row>
    <row r="14" spans="1:4" x14ac:dyDescent="0.25">
      <c r="A14" s="42"/>
      <c r="B14" s="42"/>
      <c r="C14" s="42">
        <v>3.6175459999999999</v>
      </c>
    </row>
    <row r="15" spans="1:4" x14ac:dyDescent="0.25">
      <c r="A15" s="42"/>
      <c r="B15" s="42"/>
      <c r="C15" s="42">
        <v>3.6556540000000002</v>
      </c>
    </row>
    <row r="16" spans="1:4" x14ac:dyDescent="0.25">
      <c r="A16" s="42"/>
      <c r="B16" s="42"/>
      <c r="C16" s="42">
        <v>3.54359</v>
      </c>
    </row>
    <row r="17" spans="1:3" x14ac:dyDescent="0.25">
      <c r="A17" s="42"/>
      <c r="B17" s="42"/>
      <c r="C17" s="42">
        <v>3.6009799999999998</v>
      </c>
    </row>
    <row r="18" spans="1:3" x14ac:dyDescent="0.25">
      <c r="A18" s="42"/>
      <c r="B18" s="42"/>
      <c r="C18" s="42">
        <v>3.5681189999999998</v>
      </c>
    </row>
    <row r="19" spans="1:3" x14ac:dyDescent="0.25">
      <c r="A19" s="42"/>
      <c r="B19" s="42"/>
      <c r="C19" s="42">
        <v>3.545496</v>
      </c>
    </row>
    <row r="20" spans="1:3" x14ac:dyDescent="0.25">
      <c r="A20" s="42"/>
      <c r="B20" s="42"/>
      <c r="C20" s="42">
        <v>3.6208100000000001</v>
      </c>
    </row>
    <row r="21" spans="1:3" x14ac:dyDescent="0.25">
      <c r="A21" s="42"/>
      <c r="B21" s="42"/>
      <c r="C21" s="42">
        <v>3.907686</v>
      </c>
    </row>
    <row r="22" spans="1:3" ht="21" x14ac:dyDescent="0.35">
      <c r="A22" s="42"/>
      <c r="B22" s="42"/>
      <c r="C22" s="45">
        <f>AVERAGE(C12:C21)</f>
        <v>3.6234777</v>
      </c>
    </row>
    <row r="23" spans="1:3" x14ac:dyDescent="0.25">
      <c r="A23" s="42"/>
      <c r="B23" s="42"/>
      <c r="C23" s="42"/>
    </row>
    <row r="24" spans="1:3" x14ac:dyDescent="0.25">
      <c r="A24" s="42"/>
      <c r="B24" s="42"/>
      <c r="C24" s="42"/>
    </row>
    <row r="25" spans="1:3" x14ac:dyDescent="0.25">
      <c r="A25" s="42"/>
      <c r="B25" s="42"/>
      <c r="C25" s="42"/>
    </row>
    <row r="26" spans="1:3" x14ac:dyDescent="0.25">
      <c r="A26" s="42"/>
      <c r="B26" s="42"/>
      <c r="C26" s="42"/>
    </row>
    <row r="27" spans="1:3" x14ac:dyDescent="0.25">
      <c r="A27" s="42"/>
      <c r="B27" s="42"/>
      <c r="C27" s="42"/>
    </row>
    <row r="28" spans="1:3" x14ac:dyDescent="0.25">
      <c r="A28" s="42"/>
      <c r="B28" s="42"/>
      <c r="C28" s="42"/>
    </row>
    <row r="29" spans="1:3" x14ac:dyDescent="0.25">
      <c r="A29" s="42"/>
      <c r="B29" s="42"/>
      <c r="C29" s="42"/>
    </row>
    <row r="30" spans="1:3" x14ac:dyDescent="0.25">
      <c r="A30" s="42"/>
      <c r="B30" s="42"/>
      <c r="C30" s="4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Machine Details</vt:lpstr>
      <vt:lpstr>VI Properties</vt:lpstr>
      <vt:lpstr>Exp1</vt:lpstr>
      <vt:lpstr>Exp2</vt:lpstr>
      <vt:lpstr>Exp3</vt:lpstr>
      <vt:lpstr>Exp4</vt:lpstr>
      <vt:lpstr>Exp5</vt:lpstr>
      <vt:lpstr>Exp6</vt:lpstr>
      <vt:lpstr>Exp6 (rerun)</vt:lpstr>
      <vt:lpstr>Exp7</vt:lpstr>
      <vt:lpstr>Exp7 (rerun with C=10)</vt:lpstr>
      <vt:lpstr>Exp12-EXE File Size</vt:lpstr>
      <vt:lpstr>Exp12-Variability</vt:lpstr>
      <vt:lpstr>Exp13</vt:lpstr>
      <vt:lpstr>Exp14</vt:lpstr>
      <vt:lpstr>Exp15</vt:lpstr>
      <vt:lpstr>Exp16</vt:lpstr>
      <vt:lpstr>Exp17</vt:lpstr>
      <vt:lpstr>Exp18</vt:lpstr>
      <vt:lpstr>Exp19</vt:lpstr>
      <vt:lpstr>Exp20</vt:lpstr>
      <vt:lpstr>Exp21</vt:lpstr>
      <vt:lpstr>E12-E21 Comparison</vt:lpstr>
      <vt:lpstr>Exp22</vt:lpstr>
      <vt:lpstr>Sandbox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2026-09-23T10:55:12Z</dcterms:modified>
</cp:coreProperties>
</file>